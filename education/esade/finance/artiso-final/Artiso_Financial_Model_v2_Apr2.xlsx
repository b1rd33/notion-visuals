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_README" sheetId="1" state="visible" r:id="rId3"/>
    <sheet name="1_Assumptions" sheetId="2" state="visible" r:id="rId4"/>
    <sheet name="2_Projections" sheetId="3" state="visible" r:id="rId5"/>
    <sheet name="3_CashFlow" sheetId="4" state="visible" r:id="rId6"/>
    <sheet name="4_BalanceSheet" sheetId="5" state="visible" r:id="rId7"/>
    <sheet name="5_Headcount" sheetId="6" state="visible" r:id="rId8"/>
    <sheet name="6_UnitEconomi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<sst xmlns="http://schemas.openxmlformats.org/spreadsheetml/2006/main" count="774" uniqueCount="477">
  <si>
    <t xml:space="preserve">ARTISO AI — SaaS Financial Model v2.0 (Apr 2, 2026)</t>
  </si>
  <si>
    <t xml:space="preserve">MODEL PURPOSE</t>
  </si>
  <si>
    <t xml:space="preserve">Bottom-up financial model with modular cross-sell revenue engine for Artiso AI — the Agentic OS for Fashion.</t>
  </si>
  <si>
    <t xml:space="preserve">HORIZON</t>
  </si>
  <si>
    <t xml:space="preserve">Monthly Year 1 (Apr-Dec 2026), Quarterly Years 2-5 (Q1 2027 – Q4 2030)</t>
  </si>
  <si>
    <t xml:space="preserve">SCENARIO</t>
  </si>
  <si>
    <t xml:space="preserve">Base / Upside / Downside — switch in 1_Assumptions row 150</t>
  </si>
  <si>
    <t xml:space="preserve">SHEETS</t>
  </si>
  <si>
    <t xml:space="preserve">1_Assumptions</t>
  </si>
  <si>
    <t xml:space="preserve">ALL parameters: module pricing (5 modules × 3 tiers), AE capacity, cross-sell rates, churn, COGS, OpEx, BS/tax. Edit ONLY blue cells.</t>
  </si>
  <si>
    <t xml:space="preserve">2_Projections</t>
  </si>
  <si>
    <t xml:space="preserve">Full P&amp;L: sales capacity → new logos → module penetration → revenue (setup + sub + credits + PS) → COGS → gross profit → OpEx → EBITDA → EBIT → taxes → NOPAT. Annual summary with FY2024-2025 estimates.</t>
  </si>
  <si>
    <t xml:space="preserve">3_CashFlow</t>
  </si>
  <si>
    <t xml:space="preserve">Cash Flow Statement: EBIT → + D&amp;A → − ΔWC → Operating CF → − CapEx → FCFF → + Financing → Ending Cash. Runway &amp; fundraising alerts.</t>
  </si>
  <si>
    <t xml:space="preserve">4_BalanceSheet</t>
  </si>
  <si>
    <t xml:space="preserve">Balance Sheet: Cash + AR + Fixed Assets = AP + Deferred Rev + Share Capital + Retained Earnings. BS check row verifies Assets = L+E.</t>
  </si>
  <si>
    <t xml:space="preserve">5_Headcount</t>
  </si>
  <si>
    <t xml:space="preserve">Personnel plan: 23 roles, TRUE/FALSE hire flags, department cost summaries (S&amp;M, P&amp;E, G&amp;A). Active AE Count in row 63.</t>
  </si>
  <si>
    <t xml:space="preserve">6_UnitEconomics</t>
  </si>
  <si>
    <t xml:space="preserve">CAC, ARPU, Churn (assumption-driven), LTV, LTV/CAC, Payback, Burn Multiple, Magic Number, Rule of 40. All formula-driven.</t>
  </si>
  <si>
    <t xml:space="preserve">M1: AI Design (Brand DNA)</t>
  </si>
  <si>
    <t xml:space="preserve">Launch: LIVE — Core landing module. 100% of new logos adopt. Setup + sub + shared credits.</t>
  </si>
  <si>
    <t xml:space="preserve">M2: Pre-Production</t>
  </si>
  <si>
    <t xml:space="preserve">Launch: Jul 2026 — Tech packs, patternmaking. Cross-sold to M1 customers.</t>
  </si>
  <si>
    <t xml:space="preserve">M3: Visual Content (Internal)</t>
  </si>
  <si>
    <t xml:space="preserve">Launch: Oct 2026 — Lookbooks, merch docs. Zero-setup from Brand DNA.</t>
  </si>
  <si>
    <t xml:space="preserve">M4: Trend Analysis</t>
  </si>
  <si>
    <t xml:space="preserve">Launch: Q1 2027 — Brand-specific forecasting. Upstream intelligence module.</t>
  </si>
  <si>
    <t xml:space="preserve">M5: Visual Content (External)</t>
  </si>
  <si>
    <t xml:space="preserve">Launch: Q2 2027 — Campaign imagery, PDP, showroom. Highest ACV expansion.</t>
  </si>
  <si>
    <t xml:space="preserve">REVENUE STRUCTURE (per module per customer)</t>
  </si>
  <si>
    <t xml:space="preserve">① Setup Fee: One-time per module adoption (varies by tier and module)</t>
  </si>
  <si>
    <t xml:space="preserve">② Monthly Subscription: Recurring per module (varies by tier and module)</t>
  </si>
  <si>
    <t xml:space="preserve">③ Credits: Shared pool across all modules. Consumption grows with # modules adopted.</t>
  </si>
  <si>
    <t xml:space="preserve">BOTTOM-UP SALES ENGINE</t>
  </si>
  <si>
    <t xml:space="preserve">Sales capacity = 3 founders (% time on sales) + hired AEs (from headcount plan)</t>
  </si>
  <si>
    <t xml:space="preserve">AE time split: (1 − cross_sell_%) for net-new logos + cross_sell_% for module upsells</t>
  </si>
  <si>
    <t xml:space="preserve">New logos = MIN(lead funnel output, AE capacity for net-new)</t>
  </si>
  <si>
    <t xml:space="preserve">  1_Assumptions  |  All Parameters |  Model: Apr 2026 → Q4 2030</t>
  </si>
  <si>
    <t xml:space="preserve">Parameter</t>
  </si>
  <si>
    <t xml:space="preserve">Base Case</t>
  </si>
  <si>
    <t xml:space="preserve">Upside</t>
  </si>
  <si>
    <t xml:space="preserve">Downside</t>
  </si>
  <si>
    <t xml:space="preserve">Active</t>
  </si>
  <si>
    <t xml:space="preserve">Notes</t>
  </si>
  <si>
    <t xml:space="preserve">A. MODULE DEFINITIONS &amp; LAUNCH TIMELINE</t>
  </si>
  <si>
    <t xml:space="preserve">  Module Names &amp; Launch Periods (1 = available from that period onward)</t>
  </si>
  <si>
    <t xml:space="preserve">Module</t>
  </si>
  <si>
    <t xml:space="preserve">Launch Period</t>
  </si>
  <si>
    <t xml:space="preserve">Period Index</t>
  </si>
  <si>
    <t xml:space="preserve">Status</t>
  </si>
  <si>
    <t xml:space="preserve">Description</t>
  </si>
  <si>
    <t xml:space="preserve">  M1: AI Design (Brand DNA)</t>
  </si>
  <si>
    <t xml:space="preserve">Apr 2026</t>
  </si>
  <si>
    <t xml:space="preserve">LIVE</t>
  </si>
  <si>
    <t xml:space="preserve">Core landing module. Sketch-to-render, product photography, prints/patterns. Brand DNA personalized.</t>
  </si>
  <si>
    <t xml:space="preserve">  M2: Pre-Production &amp; Engineering</t>
  </si>
  <si>
    <t xml:space="preserve">Jul 2026</t>
  </si>
  <si>
    <t xml:space="preserve">Roadmap</t>
  </si>
  <si>
    <t xml:space="preserve">Tech flat drawing, tech packs, 2D/3D patternmaking, data-driven costing.</t>
  </si>
  <si>
    <t xml:space="preserve">  M3: Visual Content (Internal)</t>
  </si>
  <si>
    <t xml:space="preserve">Oct 2026</t>
  </si>
  <si>
    <t xml:space="preserve">Lookbooks, visual merchandising docs, styling guides. Zero-setup from Brand DNA.</t>
  </si>
  <si>
    <t xml:space="preserve">  M4: Trend Analysis</t>
  </si>
  <si>
    <t xml:space="preserve">Q1 2027</t>
  </si>
  <si>
    <t xml:space="preserve">AI-driven trend identification, brand-specific forecasting via Layer 4 memory.</t>
  </si>
  <si>
    <t xml:space="preserve">  M5: Visual Content (External)</t>
  </si>
  <si>
    <t xml:space="preserve">Q2 2027</t>
  </si>
  <si>
    <t xml:space="preserve">Showroom imagery, PDP, social media campaigns, AI photography.</t>
  </si>
  <si>
    <t xml:space="preserve">B. MODULE PRICING — SETUP FEES (€, one-time per module adoption per customer)</t>
  </si>
  <si>
    <t xml:space="preserve">  SME Tier Setup Fees</t>
  </si>
  <si>
    <t xml:space="preserve">    M1 Setup — SME (€)</t>
  </si>
  <si>
    <t xml:space="preserve">Brand DNA onboarding. Benchmarked: Intercom €1.5-5K, HubSpot SMB €2-6K.</t>
  </si>
  <si>
    <t xml:space="preserve">    M2 Setup — SME (€)</t>
  </si>
  <si>
    <t xml:space="preserve">Pre-prod module setup. Tech pack templates + supplier config.</t>
  </si>
  <si>
    <t xml:space="preserve">    M3 Setup — SME (€)</t>
  </si>
  <si>
    <t xml:space="preserve">Internal visual module. Lookbook template config.</t>
  </si>
  <si>
    <t xml:space="preserve">    M4 Setup — SME (€)</t>
  </si>
  <si>
    <t xml:space="preserve">Trend analysis setup. Trend taxonomy + brand preference mapping.</t>
  </si>
  <si>
    <t xml:space="preserve">    M5 Setup — SME (€)</t>
  </si>
  <si>
    <t xml:space="preserve">External visual module. Campaign template + channel config.</t>
  </si>
  <si>
    <t xml:space="preserve">  Large Tier Setup Fees</t>
  </si>
  <si>
    <t xml:space="preserve">    M1 Setup — Large (€)</t>
  </si>
  <si>
    <t xml:space="preserve">    M2 Setup — Large (€)</t>
  </si>
  <si>
    <t xml:space="preserve">    M3 Setup — Large (€)</t>
  </si>
  <si>
    <t xml:space="preserve">    M4 Setup — Large (€)</t>
  </si>
  <si>
    <t xml:space="preserve">    M5 Setup — Large (€)</t>
  </si>
  <si>
    <t xml:space="preserve">  Enterprise Tier Setup Fees</t>
  </si>
  <si>
    <t xml:space="preserve">    M1 Setup — Enterprise (€)</t>
  </si>
  <si>
    <t xml:space="preserve">    M2 Setup — Enterprise (€)</t>
  </si>
  <si>
    <t xml:space="preserve">    M3 Setup — Enterprise (€)</t>
  </si>
  <si>
    <t xml:space="preserve">    M4 Setup — Enterprise (€)</t>
  </si>
  <si>
    <t xml:space="preserve">    M5 Setup — Enterprise (€)</t>
  </si>
  <si>
    <t xml:space="preserve">C. MODULE PRICING — MONTHLY SUBSCRIPTIONS (€/month per module per customer)</t>
  </si>
  <si>
    <t xml:space="preserve">  SME Monthly Subscriptions</t>
  </si>
  <si>
    <t xml:space="preserve">    M1 Sub — SME (€/mo)</t>
  </si>
  <si>
    <t xml:space="preserve">Core platform MRR. Comparable: Typeform €25/user×8=€200; Figma €45×5=€225.</t>
  </si>
  <si>
    <t xml:space="preserve">    M2 Sub — SME (€/mo)</t>
  </si>
  <si>
    <t xml:space="preserve">Pre-prod module. Tech pack generation + pattern tools.</t>
  </si>
  <si>
    <t xml:space="preserve">    M3 Sub — SME (€/mo)</t>
  </si>
  <si>
    <t xml:space="preserve">Internal visual tools. Lookbook + merch doc generation.</t>
  </si>
  <si>
    <t xml:space="preserve">    M4 Sub — SME (€/mo)</t>
  </si>
  <si>
    <t xml:space="preserve">Trend intelligence feed. Brand-specific forecasting.</t>
  </si>
  <si>
    <t xml:space="preserve">    M5 Sub — SME (€/mo)</t>
  </si>
  <si>
    <t xml:space="preserve">External visual production. Campaign + PDP imagery.</t>
  </si>
  <si>
    <t xml:space="preserve">  Large Monthly Subscriptions</t>
  </si>
  <si>
    <t xml:space="preserve">    M1 Sub — Large (€/mo)</t>
  </si>
  <si>
    <t xml:space="preserve">    M2 Sub — Large (€/mo)</t>
  </si>
  <si>
    <t xml:space="preserve">    M3 Sub — Large (€/mo)</t>
  </si>
  <si>
    <t xml:space="preserve">    M4 Sub — Large (€/mo)</t>
  </si>
  <si>
    <t xml:space="preserve">    M5 Sub — Large (€/mo)</t>
  </si>
  <si>
    <t xml:space="preserve">  Enterprise Monthly Subscriptions</t>
  </si>
  <si>
    <t xml:space="preserve">    M1 Sub — Enterprise (€/mo)</t>
  </si>
  <si>
    <t xml:space="preserve">    M2 Sub — Enterprise (€/mo)</t>
  </si>
  <si>
    <t xml:space="preserve">    M3 Sub — Enterprise (€/mo)</t>
  </si>
  <si>
    <t xml:space="preserve">    M4 Sub — Enterprise (€/mo)</t>
  </si>
  <si>
    <t xml:space="preserve">    M5 Sub — Enterprise (€/mo)</t>
  </si>
  <si>
    <t xml:space="preserve">D. CREDIT PRICING — Shared pool across all modules (usage increases with module count)</t>
  </si>
  <si>
    <t xml:space="preserve">  SME — Base Credits/Month</t>
  </si>
  <si>
    <t xml:space="preserve">Monthly credit commitment. Usage-based; grows with module adoption.</t>
  </si>
  <si>
    <t xml:space="preserve">  Large — Base Credits/Month</t>
  </si>
  <si>
    <t xml:space="preserve">  Enterprise — Base Credits/Month</t>
  </si>
  <si>
    <t xml:space="preserve">  SME — Price per Credit (€)</t>
  </si>
  <si>
    <t xml:space="preserve">No volume discount. GM: €0.22−€0.03 infra = €0.19 (86%).</t>
  </si>
  <si>
    <t xml:space="preserve">  Large — Price per Credit (€)</t>
  </si>
  <si>
    <t xml:space="preserve">−18% vs SME. Volume discount.</t>
  </si>
  <si>
    <t xml:space="preserve">  Enterprise — Price per Credit (€)</t>
  </si>
  <si>
    <t xml:space="preserve">−32% vs SME. Committed use.</t>
  </si>
  <si>
    <t xml:space="preserve">  SME — Credit Usage Growth (%/period)</t>
  </si>
  <si>
    <t xml:space="preserve">Per-period credit consumption growth.</t>
  </si>
  <si>
    <t xml:space="preserve">  Large — Credit Usage Growth (%/period)</t>
  </si>
  <si>
    <t xml:space="preserve">  Enterprise — Credit Usage Growth (%/period)</t>
  </si>
  <si>
    <t xml:space="preserve">  Credit Multiplier per Additional Module</t>
  </si>
  <si>
    <t xml:space="preserve">Each additional module adopted increases credit consumption by this %. E.g., 2 modules = 1.15× base credits.</t>
  </si>
  <si>
    <t xml:space="preserve">  SME — Max Credits/Month (cap)</t>
  </si>
  <si>
    <t xml:space="preserve">Ceiling for SME credit consumption. Growth asymptotically approaches this.</t>
  </si>
  <si>
    <t xml:space="preserve">  Large — Max Credits/Month (cap)</t>
  </si>
  <si>
    <t xml:space="preserve">  Enterprise — Max Credits/Month (cap)</t>
  </si>
  <si>
    <t xml:space="preserve">E. Starting Customers</t>
  </si>
  <si>
    <t xml:space="preserve">  Starting Customers — SME (#)</t>
  </si>
  <si>
    <t xml:space="preserve">Pre-investment pilots converted.</t>
  </si>
  <si>
    <t xml:space="preserve">  Starting Customers — Large (#)</t>
  </si>
  <si>
    <t xml:space="preserve">Warm lead from founders network.</t>
  </si>
  <si>
    <t xml:space="preserve">  Starting Customers — Enterprise (#)</t>
  </si>
  <si>
    <t xml:space="preserve">Enterprise requires 6-month sales cycle.</t>
  </si>
  <si>
    <t xml:space="preserve">F. SALES CAPACITY MODEL — AE + Founder selling capacity</t>
  </si>
  <si>
    <t xml:space="preserve">  CEO - % Time on Sales</t>
  </si>
  <si>
    <t xml:space="preserve">CEO is primary seller pre-AE hire.</t>
  </si>
  <si>
    <t xml:space="preserve">  CPO - % Time on Sales</t>
  </si>
  <si>
    <t xml:space="preserve">CPO supports demos/technical sales.</t>
  </si>
  <si>
    <t xml:space="preserve">  CTO - % Time on Sales</t>
  </si>
  <si>
    <t xml:space="preserve">CTO involved in enterprise technical evaluation.</t>
  </si>
  <si>
    <t xml:space="preserve">  Deals Closed per FTE-AE per Month (net-new)</t>
  </si>
  <si>
    <t xml:space="preserve">1 FTE AE can close ~2 net-new deals/month. Benchmark: B2B SaaS 1-2 deals/AE/month (Salesloft 2024).</t>
  </si>
  <si>
    <t xml:space="preserve">  % AE Time Allocated to Cross-Sell</t>
  </si>
  <si>
    <t xml:space="preserve">Starts at 20%; adjustable. Remaining time goes to net-new. As base grows, cross-sell becomes more efficient.</t>
  </si>
  <si>
    <t xml:space="preserve">G. LEAD FUNNEL — FUNNEL DIVIDED BY TYPE</t>
  </si>
  <si>
    <t xml:space="preserve">SME Client Rate</t>
  </si>
  <si>
    <t xml:space="preserve">MQL pool: founders LinkedIn (~4), paid ads (~3), events (~3).</t>
  </si>
  <si>
    <t xml:space="preserve">Large Client Rate</t>
  </si>
  <si>
    <t xml:space="preserve">5.5%/mo = ~90% annual. OpenView PLG benchmarks: 40-80%/yr.</t>
  </si>
  <si>
    <t xml:space="preserve">Enterprise Client Rate</t>
  </si>
  <si>
    <t xml:space="preserve">B2B SaaS SME close rate 3-6% (Hubspot 2024: 4.3%).</t>
  </si>
  <si>
    <t xml:space="preserve">  Sales Cycle — SME (months)</t>
  </si>
  <si>
    <t xml:space="preserve">Standard for PLG-assisted B2B SaaS.</t>
  </si>
  <si>
    <t xml:space="preserve">  Sales Cycle — Large (months)</t>
  </si>
  <si>
    <t xml:space="preserve">Median mid-market 2-4 months (Salesloft 2024).</t>
  </si>
  <si>
    <t xml:space="preserve">  Sales Cycle — Enterprise (months)</t>
  </si>
  <si>
    <t xml:space="preserve">Enterprise median 4-8 months (Gartner 2024).</t>
  </si>
  <si>
    <t xml:space="preserve">H. CROSS-SELL ASSUMPTIONS — Module adoption rates for existing customers</t>
  </si>
  <si>
    <t xml:space="preserve">  % of Existing Single-Module Customers Who Adopt New Module (per period after launch)</t>
  </si>
  <si>
    <t xml:space="preserve">  Cross-Sell Rate → M2 (Pre-Production)</t>
  </si>
  <si>
    <t xml:space="preserve">8% of M1-only customers adopt M2 per period. Natural extension of design workflow.</t>
  </si>
  <si>
    <t xml:space="preserve">  Cross-Sell Rate → M3 (Visual Internal)</t>
  </si>
  <si>
    <t xml:space="preserve">6%/period. Lower urgency but zero-setup from Brand DNA.</t>
  </si>
  <si>
    <t xml:space="preserve">  Cross-Sell Rate → M4 (Trend Analysis)</t>
  </si>
  <si>
    <t xml:space="preserve">5%/period. Upstream module; appeals to strategic buyers.</t>
  </si>
  <si>
    <t xml:space="preserve">  Cross-Sell Rate → M5 (Visual External)</t>
  </si>
  <si>
    <t xml:space="preserve">7%/period. High demand; direct ROI from reduced agency spend.</t>
  </si>
  <si>
    <t xml:space="preserve">  % of Net-New Logos Who Adopt Additional Modules at Landing (beyond M1)</t>
  </si>
  <si>
    <t xml:space="preserve">  New Logo → Also Takes M2 at Landing (%)</t>
  </si>
  <si>
    <t xml:space="preserve">15% of new logos buy M2 along with M1 at initial contract.</t>
  </si>
  <si>
    <t xml:space="preserve">  New Logo → Also Takes M3 at Landing (%)</t>
  </si>
  <si>
    <t xml:space="preserve">  New Logo → Also Takes M4 at Landing (%)</t>
  </si>
  <si>
    <t xml:space="preserve">  New Logo → Also Takes M5 at Landing (%)</t>
  </si>
  <si>
    <t xml:space="preserve">  Gross Logo Churn — SME (%/month)</t>
  </si>
  <si>
    <t xml:space="preserve">2.5%/mo ≈ 26% annual. SaaStr early-stage SME: 20-35%.</t>
  </si>
  <si>
    <t xml:space="preserve">  Gross Logo Churn — Large (%/month)</t>
  </si>
  <si>
    <t xml:space="preserve">1.5%/mo ≈ 17% annual. Mid-market 10-18% (OpenView 2024).</t>
  </si>
  <si>
    <t xml:space="preserve">  Gross Logo Churn — Enterprise (%/month)</t>
  </si>
  <si>
    <t xml:space="preserve">0.8%/mo ≈ 9% annual. Enterprise 5-10% with contracts.</t>
  </si>
  <si>
    <t xml:space="preserve">J. COST STRUCTURE (COGS &amp; OpEx — non-salary)</t>
  </si>
  <si>
    <t xml:space="preserve">  Infra Cost per Credit — SME (€)</t>
  </si>
  <si>
    <t xml:space="preserve">AWS/GCP AI inference. On-demand pricing.</t>
  </si>
  <si>
    <t xml:space="preserve">  Infra Cost per Credit — Large (€)</t>
  </si>
  <si>
    <t xml:space="preserve">Reserved instance −17% vs SME.</t>
  </si>
  <si>
    <t xml:space="preserve">  Infra Cost per Credit — Enterprise (€)</t>
  </si>
  <si>
    <t xml:space="preserve">Committed use −33% vs SME.</t>
  </si>
  <si>
    <t xml:space="preserve">  Support Cost % of Sub Revenue — SME</t>
  </si>
  <si>
    <t xml:space="preserve">Self-serve + ticketed. PLG SaaS 5-10%.</t>
  </si>
  <si>
    <t xml:space="preserve">  Support Cost % of Sub Revenue — Large</t>
  </si>
  <si>
    <t xml:space="preserve">Dedicated account manager.</t>
  </si>
  <si>
    <t xml:space="preserve">  Support Cost % of Sub Revenue — Enterprise</t>
  </si>
  <si>
    <t xml:space="preserve">Dedicated support + SLA.</t>
  </si>
  <si>
    <t xml:space="preserve">  Setup Fee COGS % (onboarding labor)</t>
  </si>
  <si>
    <t xml:space="preserve">Onboarding labor as % of setup fee revenue.</t>
  </si>
  <si>
    <t xml:space="preserve">  Professional Services COGS %</t>
  </si>
  <si>
    <t xml:space="preserve">PS GM = 30%. Gross-margin dilutive; capped &lt;10%.</t>
  </si>
  <si>
    <t xml:space="preserve">  S&amp;M Non-Salary — Floor (€/month)</t>
  </si>
  <si>
    <t xml:space="preserve">Min S&amp;M spend. €50K/qtr baseline.</t>
  </si>
  <si>
    <t xml:space="preserve">  S&amp;M as % of Revenue — Year 1</t>
  </si>
  <si>
    <t xml:space="preserve">Invest heavily early. Declines linearly to Year 5 target. Inline with Market Values</t>
  </si>
  <si>
    <t xml:space="preserve">  S&amp;M as % of Revenue — Year 5</t>
  </si>
  <si>
    <t xml:space="preserve">Steady-state S&amp;M efficiency target.</t>
  </si>
  <si>
    <t xml:space="preserve">  P&amp;E Non-Salary — Floor (€/month)</t>
  </si>
  <si>
    <t xml:space="preserve">  P&amp;E as % of Revenue — Year 1</t>
  </si>
  <si>
    <t xml:space="preserve">  P&amp;E as % of Revenue — Year 5</t>
  </si>
  <si>
    <t xml:space="preserve">  G&amp;A Non-Salary — Floor (€/month)</t>
  </si>
  <si>
    <t xml:space="preserve">  G&amp;A as % of Revenue — Year 1</t>
  </si>
  <si>
    <t xml:space="preserve">Inline with Market Data</t>
  </si>
  <si>
    <t xml:space="preserve">  G&amp;A as % of Revenue — Year 5</t>
  </si>
  <si>
    <t xml:space="preserve">  PS Projects/Month — Large</t>
  </si>
  <si>
    <t xml:space="preserve">~1 project/year = 0.083/month.</t>
  </si>
  <si>
    <t xml:space="preserve">  PS Projects/Month — Enterprise</t>
  </si>
  <si>
    <t xml:space="preserve">~2 projects/year.</t>
  </si>
  <si>
    <t xml:space="preserve">  PS Avg Value — SME (€)</t>
  </si>
  <si>
    <t xml:space="preserve">  PS Avg Value — Large (€)</t>
  </si>
  <si>
    <t xml:space="preserve">Mid-market custom integration €8-15K.</t>
  </si>
  <si>
    <t xml:space="preserve">  PS Avg Value — Enterprise (€)</t>
  </si>
  <si>
    <t xml:space="preserve">Enterprise AI integration €15-40K.</t>
  </si>
  <si>
    <t xml:space="preserve">L. BILLING MIX &amp; WORKING CAPITAL</t>
  </si>
  <si>
    <t xml:space="preserve">  Annual Billing Discount (%)</t>
  </si>
  <si>
    <t xml:space="preserve">10% discount on subscription ONLY. Credits monthly.</t>
  </si>
  <si>
    <t xml:space="preserve">  % New Customers on Annual Billing</t>
  </si>
  <si>
    <t xml:space="preserve">Zuora 2024 median: 42%.</t>
  </si>
  <si>
    <t xml:space="preserve">  Accounts Receivable Days</t>
  </si>
  <si>
    <t xml:space="preserve">Days of revenue outstanding. SaaS typical: 25-45 days.</t>
  </si>
  <si>
    <t xml:space="preserve">  Accounts Payable Days</t>
  </si>
  <si>
    <t xml:space="preserve">Days of COGS outstanding. Supplier payment terms.</t>
  </si>
  <si>
    <t xml:space="preserve">M. TAX, DEPRECIATION &amp; CAPEX</t>
  </si>
  <si>
    <t xml:space="preserve">  Corporate Tax Rate (%)</t>
  </si>
  <si>
    <t xml:space="preserve">Spain corporate tax: 25%. Applied only when EBIT &gt; 0.</t>
  </si>
  <si>
    <t xml:space="preserve">  Depreciation &amp; Amortisation (€/month)</t>
  </si>
  <si>
    <t xml:space="preserve">Minimal for asset-light SaaS. Capitalized software + equipment.</t>
  </si>
  <si>
    <t xml:space="preserve">  Initial CapEx / Setup (€)</t>
  </si>
  <si>
    <t xml:space="preserve">  Annual Maintenance CapEx (€)</t>
  </si>
  <si>
    <t xml:space="preserve">N. PERSONNEL — See 5_Headcount for full plan</t>
  </si>
  <si>
    <t xml:space="preserve">  Annual Salary Growth Rate (%)</t>
  </si>
  <si>
    <t xml:space="preserve">Total salary growth = real growth + inflation. Set to include both. E.g., 7% real + 3% inflation = 10%.</t>
  </si>
  <si>
    <t xml:space="preserve">  Total Planned Headcount (FY2030)</t>
  </si>
  <si>
    <t xml:space="preserve">20 roles, 5 departments — full schedule in 5_Headcount</t>
  </si>
  <si>
    <t xml:space="preserve">O. ACTIVE SCENARIO SELECTOR</t>
  </si>
  <si>
    <t xml:space="preserve">► ACTIVE SCENARIO:</t>
  </si>
  <si>
    <t xml:space="preserve">← Select: "Base Case", "Upside", or "Downside"</t>
  </si>
  <si>
    <t xml:space="preserve">  2_Projections  |  5-Year Revenue &amp; P&amp;L  |  Monthly Year 1, Quarterly Years 2-5  |  ARTISO AI</t>
  </si>
  <si>
    <t xml:space="preserve">2026 (Apr-Dec, Monthly)</t>
  </si>
  <si>
    <t xml:space="preserve">2027 (Quarterly)</t>
  </si>
  <si>
    <t xml:space="preserve">2028</t>
  </si>
  <si>
    <t xml:space="preserve">2029</t>
  </si>
  <si>
    <t xml:space="preserve">2030</t>
  </si>
  <si>
    <t xml:space="preserve">Metric</t>
  </si>
  <si>
    <t xml:space="preserve">Units</t>
  </si>
  <si>
    <t xml:space="preserve">Pre-Inv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</si>
  <si>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</si>
  <si>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</si>
  <si>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</si>
  <si>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</si>
  <si>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</si>
  <si>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</si>
  <si>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</si>
  <si>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</si>
  <si>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</si>
  <si>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Q1</t>
  </si>
  <si>
    <t xml:space="preserve">Q2</t>
  </si>
  <si>
    <t xml:space="preserve">Q3</t>
  </si>
  <si>
    <t xml:space="preserve">Q4</t>
  </si>
  <si>
    <t xml:space="preserve">Period Index (month #)</t>
  </si>
  <si>
    <t xml:space="preserve">#</t>
  </si>
  <si>
    <t xml:space="preserve">Months in Period</t>
  </si>
  <si>
    <t xml:space="preserve">A. SALES CAPACITY &amp; NEW LOGO ACQUISITION</t>
  </si>
  <si>
    <t xml:space="preserve">Founder Selling FTEs</t>
  </si>
  <si>
    <t xml:space="preserve">FTE</t>
  </si>
  <si>
    <t xml:space="preserve">Active AEs (from 5_Headcount)</t>
  </si>
  <si>
    <t xml:space="preserve">Total Selling FTEs</t>
  </si>
  <si>
    <t xml:space="preserve">Net-New Deal Capacity (period)</t>
  </si>
  <si>
    <t xml:space="preserve">deals</t>
  </si>
  <si>
    <t xml:space="preserve">New Logos Raw — SME</t>
  </si>
  <si>
    <t xml:space="preserve">logos</t>
  </si>
  <si>
    <t xml:space="preserve">New Logos Raw — Large</t>
  </si>
  <si>
    <t xml:space="preserve">New Logos Raw — Enterprise</t>
  </si>
  <si>
    <t xml:space="preserve">Total Logos Closed — SME</t>
  </si>
  <si>
    <t xml:space="preserve">Total Logos Closed — Large</t>
  </si>
  <si>
    <t xml:space="preserve">Total Logos Closed — Enterprise</t>
  </si>
  <si>
    <t xml:space="preserve">New Logos — SME</t>
  </si>
  <si>
    <t xml:space="preserve">New Logos — Large</t>
  </si>
  <si>
    <t xml:space="preserve">New Logos — Enterprise</t>
  </si>
  <si>
    <t xml:space="preserve">Total New Logos</t>
  </si>
  <si>
    <t xml:space="preserve">B. INSTALLED LOGO BASE (end of period, after churn)</t>
  </si>
  <si>
    <t xml:space="preserve">Installed Base — SME</t>
  </si>
  <si>
    <t xml:space="preserve">Installed Base — Large</t>
  </si>
  <si>
    <t xml:space="preserve">Installed Base — Enterprise</t>
  </si>
  <si>
    <t xml:space="preserve">Total Installed Base</t>
  </si>
  <si>
    <t xml:space="preserve">C. MODULE PENETRATION % (% of logo base with each module)</t>
  </si>
  <si>
    <t xml:space="preserve">  M1: AI Design — Penetration %</t>
  </si>
  <si>
    <t xml:space="preserve">%</t>
  </si>
  <si>
    <t xml:space="preserve">  M2: Pre-Production — Penetration %</t>
  </si>
  <si>
    <t xml:space="preserve">  M3: Visual Internal — Penetration %</t>
  </si>
  <si>
    <t xml:space="preserve">  M4: Trend Analysis — Penetration %</t>
  </si>
  <si>
    <t xml:space="preserve">  M5: Visual External — Penetration %</t>
  </si>
  <si>
    <t xml:space="preserve">D. REVENUE — SETUP FEES (one-time per new module adoption)</t>
  </si>
  <si>
    <t xml:space="preserve">  Setup Fee Revenue — M1</t>
  </si>
  <si>
    <t xml:space="preserve">€</t>
  </si>
  <si>
    <t xml:space="preserve">  Setup Fee Revenue — M2</t>
  </si>
  <si>
    <t xml:space="preserve">  Setup Fee Revenue — M3</t>
  </si>
  <si>
    <t xml:space="preserve">  Setup Fee Revenue — M4</t>
  </si>
  <si>
    <t xml:space="preserve">  Setup Fee Revenue — M5</t>
  </si>
  <si>
    <t xml:space="preserve">Total Setup Fee Revenue</t>
  </si>
  <si>
    <t xml:space="preserve">E. REVENUE — SUBSCRIPTIONS (MRR × months in period, NRR-adjusted)</t>
  </si>
  <si>
    <t xml:space="preserve">  Subscription Revenue — M1</t>
  </si>
  <si>
    <t xml:space="preserve">  Subscription Revenue — M2</t>
  </si>
  <si>
    <t xml:space="preserve">  Subscription Revenue — M3</t>
  </si>
  <si>
    <t xml:space="preserve">  Subscription Revenue — M4</t>
  </si>
  <si>
    <t xml:space="preserve">  Subscription Revenue — M5</t>
  </si>
  <si>
    <t xml:space="preserve">Total Subscription Revenue</t>
  </si>
  <si>
    <t xml:space="preserve">F. REVENUE — CREDITS (shared pool, increases with module count)</t>
  </si>
  <si>
    <t xml:space="preserve">  Credit Revenue — SME</t>
  </si>
  <si>
    <t xml:space="preserve">  Credit Revenue — Large</t>
  </si>
  <si>
    <t xml:space="preserve">  Credit Revenue — Enterprise</t>
  </si>
  <si>
    <t xml:space="preserve">Total Credit Revenue</t>
  </si>
  <si>
    <t xml:space="preserve">G. REVENUE — PROFESSIONAL SERVICES (capped &lt;10% of total)</t>
  </si>
  <si>
    <t xml:space="preserve">  PS Revenue — SME</t>
  </si>
  <si>
    <t xml:space="preserve">  PS Revenue — Large</t>
  </si>
  <si>
    <t xml:space="preserve">  PS Revenue — Enterprise</t>
  </si>
  <si>
    <t xml:space="preserve">Total PS Revenue</t>
  </si>
  <si>
    <t xml:space="preserve">  PS as % of Total Revenue (flag if &gt;10%)</t>
  </si>
  <si>
    <t xml:space="preserve">H. TOTAL REVENUE SUMMARY</t>
  </si>
  <si>
    <t xml:space="preserve">ARR (Annualised Recurring Revenue)</t>
  </si>
  <si>
    <t xml:space="preserve">MRR (Monthly Recurring Revenue)</t>
  </si>
  <si>
    <t xml:space="preserve">TOTAL REVENUE</t>
  </si>
  <si>
    <t xml:space="preserve">I. COST OF GOODS SOLD &amp; GROSS PROFIT</t>
  </si>
  <si>
    <t xml:space="preserve">COGS — SaaS (infra + support, by tier)</t>
  </si>
  <si>
    <t xml:space="preserve">COGS — Professional Services</t>
  </si>
  <si>
    <t xml:space="preserve">COGS — Setup Fees (onboarding labor)</t>
  </si>
  <si>
    <t xml:space="preserve">Total COGS</t>
  </si>
  <si>
    <t xml:space="preserve">Gross Profit</t>
  </si>
  <si>
    <t xml:space="preserve">Gross Margin %</t>
  </si>
  <si>
    <t xml:space="preserve">J. OPERATING EXPENSES</t>
  </si>
  <si>
    <t xml:space="preserve">S&amp;M (MAX(floor, rev × ratio) + personnel)</t>
  </si>
  <si>
    <t xml:space="preserve">P&amp;E (MAX(floor, rev × ratio) + personnel)</t>
  </si>
  <si>
    <t xml:space="preserve">G&amp;A (MAX(floor, rev × ratio) + personnel)</t>
  </si>
  <si>
    <t xml:space="preserve">Total OpEx</t>
  </si>
  <si>
    <t xml:space="preserve">K. EBITDA → EBIT → NOPAT (Net Operating Profit After Tax)</t>
  </si>
  <si>
    <t xml:space="preserve">EBITDA</t>
  </si>
  <si>
    <t xml:space="preserve">EBITDA Margin %</t>
  </si>
  <si>
    <t xml:space="preserve">Depreciation &amp; Amortisation</t>
  </si>
  <si>
    <t xml:space="preserve">EBIT (Earnings Before Interest &amp; Tax)</t>
  </si>
  <si>
    <t xml:space="preserve">Taxes (25%, only if EBIT &gt; 0)</t>
  </si>
  <si>
    <t xml:space="preserve">NOPAT (EBIT after Tax)</t>
  </si>
  <si>
    <t xml:space="preserve">L. ANNUAL P&amp;L SUMMARY (with estimated historical)</t>
  </si>
  <si>
    <t xml:space="preserve">FY2024 (est.)</t>
  </si>
  <si>
    <t xml:space="preserve">FY2025 (est.)</t>
  </si>
  <si>
    <t xml:space="preserve">FY2026*</t>
  </si>
  <si>
    <t xml:space="preserve">FY2027</t>
  </si>
  <si>
    <t xml:space="preserve">FY2028</t>
  </si>
  <si>
    <t xml:space="preserve">FY2029</t>
  </si>
  <si>
    <t xml:space="preserve">FY2030</t>
  </si>
  <si>
    <t xml:space="preserve">Total Revenue</t>
  </si>
  <si>
    <t xml:space="preserve">  Subscription Revenue</t>
  </si>
  <si>
    <t xml:space="preserve">  Credit Revenue</t>
  </si>
  <si>
    <t xml:space="preserve">  Setup Fee Revenue</t>
  </si>
  <si>
    <t xml:space="preserve">  PS Revenue</t>
  </si>
  <si>
    <t xml:space="preserve">D&amp;A</t>
  </si>
  <si>
    <t xml:space="preserve">EBIT</t>
  </si>
  <si>
    <t xml:space="preserve">Taxes</t>
  </si>
  <si>
    <t xml:space="preserve">NOPAT</t>
  </si>
  <si>
    <t xml:space="preserve">ARR (End of Year)</t>
  </si>
  <si>
    <t xml:space="preserve">Total Installed Base (EoY)</t>
  </si>
  <si>
    <t xml:space="preserve">  3_CashFlow  |  Cash Flow Statement → FCFF  |  Monthly Year 1, Quarterly Years 2-5</t>
  </si>
  <si>
    <t xml:space="preserve">2026 (Monthly)</t>
  </si>
  <si>
    <t xml:space="preserve">2027</t>
  </si>
  <si>
    <t xml:space="preserve">Cash Flow Component</t>
  </si>
  <si>
    <t xml:space="preserve">Opening Cash (€)</t>
  </si>
  <si>
    <t xml:space="preserve">€3M seed received end Q1 2026</t>
  </si>
  <si>
    <t xml:space="preserve">A. OPERATING CASH FLOW</t>
  </si>
  <si>
    <t xml:space="preserve">(+) EBIT</t>
  </si>
  <si>
    <t xml:space="preserve">(−) Taxes</t>
  </si>
  <si>
    <t xml:space="preserve">(+) Depreciation &amp; Amortisation (add back)</t>
  </si>
  <si>
    <t xml:space="preserve">  Accounts Receivable (Revenue × AR days / 360)</t>
  </si>
  <si>
    <t xml:space="preserve">  Accounts Payable (COGS × AP days / 360)</t>
  </si>
  <si>
    <t xml:space="preserve">  (Deferred Revenue placeholder — not modeled separately)</t>
  </si>
  <si>
    <t xml:space="preserve">(−) Increase in Working Capital (ΔAR − ΔAP)</t>
  </si>
  <si>
    <t xml:space="preserve">OPERATING CASH FLOW</t>
  </si>
  <si>
    <t xml:space="preserve">B. INVESTING CASH FLOW</t>
  </si>
  <si>
    <t xml:space="preserve">(−) CapEx</t>
  </si>
  <si>
    <t xml:space="preserve">FREE CASH FLOW TO FIRM (FCFF)</t>
  </si>
  <si>
    <t xml:space="preserve">C. FINANCING CASH FLOW</t>
  </si>
  <si>
    <t xml:space="preserve">(+) Equity Raised</t>
  </si>
  <si>
    <t xml:space="preserve">CASH FROM FINANCING</t>
  </si>
  <si>
    <t xml:space="preserve">D. NET CASH FLOW &amp; CUMULATIVE BALANCE</t>
  </si>
  <si>
    <t xml:space="preserve">Net Cash Flow</t>
  </si>
  <si>
    <t xml:space="preserve">CUMULATIVE CASH BALANCE</t>
  </si>
  <si>
    <t xml:space="preserve">Monthly Burn Rate (if negative)</t>
  </si>
  <si>
    <t xml:space="preserve">Runway (months at current burn)</t>
  </si>
  <si>
    <t xml:space="preserve">mths</t>
  </si>
  <si>
    <t xml:space="preserve">⚠ Fundraising Alert</t>
  </si>
  <si>
    <t xml:space="preserve">  4_BalanceSheet  |  Assets = Liabilities + Equity  |  Monthly Year 1, Quarterly Years 2-5</t>
  </si>
  <si>
    <t xml:space="preserve">Balance Sheet Item</t>
  </si>
  <si>
    <t xml:space="preserve">ASSETS</t>
  </si>
  <si>
    <t xml:space="preserve">Cash &amp; Cash Equivalents</t>
  </si>
  <si>
    <t xml:space="preserve">Accounts Receivable</t>
  </si>
  <si>
    <t xml:space="preserve">Total Current Assets</t>
  </si>
  <si>
    <t xml:space="preserve">Cumulative CapEx (Gross Fixed Assets)</t>
  </si>
  <si>
    <t xml:space="preserve">Cumulative Depreciation</t>
  </si>
  <si>
    <t xml:space="preserve">Net Fixed Assets</t>
  </si>
  <si>
    <t xml:space="preserve">TOTAL ASSETS</t>
  </si>
  <si>
    <t xml:space="preserve">LIABILITIES</t>
  </si>
  <si>
    <t xml:space="preserve">Accounts Payable</t>
  </si>
  <si>
    <t xml:space="preserve">Deferred Revenue (not modeled separately)</t>
  </si>
  <si>
    <t xml:space="preserve">TOTAL LIABILITIES</t>
  </si>
  <si>
    <t xml:space="preserve">EQUITY</t>
  </si>
  <si>
    <t xml:space="preserve">Share Capital (Seed + Historical)</t>
  </si>
  <si>
    <t xml:space="preserve">Retained Earnings (cumulative net income)</t>
  </si>
  <si>
    <t xml:space="preserve">TOTAL EQUITY</t>
  </si>
  <si>
    <t xml:space="preserve">TOTAL LIABILITIES + EQUITY</t>
  </si>
  <si>
    <t xml:space="preserve">✓ BS Check: Assets − (L+E) = 0</t>
  </si>
  <si>
    <t xml:space="preserve">  5_Headcount  |  Personnel Plan &amp; Cost  |  Monthly Year 1, Quarterly Years 2-5</t>
  </si>
  <si>
    <t xml:space="preserve">Salary Growth Rate</t>
  </si>
  <si>
    <t xml:space="preserve">← From 1_Assumptions</t>
  </si>
  <si>
    <t xml:space="preserve">Employer Cost Multiplier</t>
  </si>
  <si>
    <t xml:space="preserve">Gross × 1.30 (social contributions)</t>
  </si>
  <si>
    <t xml:space="preserve">A. HEADCOUNT PLAN — TRUE = Active</t>
  </si>
  <si>
    <t xml:space="preserve">Department</t>
  </si>
  <si>
    <t xml:space="preserve">Role</t>
  </si>
  <si>
    <t xml:space="preserve">Gross Annual (€)</t>
  </si>
  <si>
    <t xml:space="preserve">Employer Cost (€)</t>
  </si>
  <si>
    <t xml:space="preserve">G&amp;A</t>
  </si>
  <si>
    <t xml:space="preserve">Founder - CPO</t>
  </si>
  <si>
    <t xml:space="preserve">Founder - CEO</t>
  </si>
  <si>
    <t xml:space="preserve">Founder - CTO</t>
  </si>
  <si>
    <t xml:space="preserve">P&amp;E</t>
  </si>
  <si>
    <t xml:space="preserve">Full Stack Engineer</t>
  </si>
  <si>
    <t xml:space="preserve">Backend Engineer</t>
  </si>
  <si>
    <t xml:space="preserve">Frontend Engineer</t>
  </si>
  <si>
    <t xml:space="preserve">AI &amp; Deep Learning Researcher</t>
  </si>
  <si>
    <t xml:space="preserve">Cloud Architect</t>
  </si>
  <si>
    <t xml:space="preserve">Product Designer</t>
  </si>
  <si>
    <t xml:space="preserve">S&amp;M</t>
  </si>
  <si>
    <t xml:space="preserve">Account Executive</t>
  </si>
  <si>
    <t xml:space="preserve">Growth Marketing Manager</t>
  </si>
  <si>
    <t xml:space="preserve">Finance Director</t>
  </si>
  <si>
    <t xml:space="preserve">B. COST PER EMPLOYEE (period)</t>
  </si>
  <si>
    <t xml:space="preserve">C. COST SUMMARY BY P&amp;L CATEGORY</t>
  </si>
  <si>
    <t xml:space="preserve">Sales &amp; Marketing Personnel</t>
  </si>
  <si>
    <t xml:space="preserve">Product &amp; Engineering Personnel</t>
  </si>
  <si>
    <t xml:space="preserve">G&amp;A Personnel</t>
  </si>
  <si>
    <t xml:space="preserve">TOTAL PERSONNEL COST</t>
  </si>
  <si>
    <t xml:space="preserve">Active AE Count</t>
  </si>
  <si>
    <t xml:space="preserve">  6_UnitEconomics  |  CAC · LTV · NRR · Payback · Rule of 40  |  Apr 2026 → Q4 2030</t>
  </si>
  <si>
    <t xml:space="preserve">A. INPUT METRICS (from P&amp;L)</t>
  </si>
  <si>
    <t xml:space="preserve">S&amp;M Spend</t>
  </si>
  <si>
    <t xml:space="preserve">New Logos (net new)</t>
  </si>
  <si>
    <t xml:space="preserve">Installed Base (total logos)</t>
  </si>
  <si>
    <t xml:space="preserve">Recurring Revenue (Sub + Credit)</t>
  </si>
  <si>
    <t xml:space="preserve">B. UNIT ECONOMICS</t>
  </si>
  <si>
    <t xml:space="preserve">Blended CAC (S&amp;M ÷ New Logos)</t>
  </si>
  <si>
    <t xml:space="preserve">Blended ARPU (annualized)</t>
  </si>
  <si>
    <t xml:space="preserve">€/yr</t>
  </si>
  <si>
    <t xml:space="preserve">Blended Logo Churn (annualized, assumption-driven)</t>
  </si>
  <si>
    <t xml:space="preserve">LTV (ARPU × GM% ÷ Annual Churn)</t>
  </si>
  <si>
    <t xml:space="preserve">LTV / CAC (target: 3-5x)</t>
  </si>
  <si>
    <t xml:space="preserve">x</t>
  </si>
  <si>
    <t xml:space="preserve">CAC Payback (months)</t>
  </si>
  <si>
    <t xml:space="preserve">mo</t>
  </si>
  <si>
    <t xml:space="preserve">C. EFFICIENCY METRICS</t>
  </si>
  <si>
    <t xml:space="preserve">Burn Multiple (Net Burn ÷ Net New ARR)</t>
  </si>
  <si>
    <t xml:space="preserve">Magic Number (Δ ARR annualized ÷ Prior S&amp;M annualized)</t>
  </si>
  <si>
    <t xml:space="preserve">Rule of 40 (Rev Growth % + EBITDA Margin %)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</si>
</sst>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 * #,##0.00_ ;_ * \-#,##0.00_ ;_ * \-??_ ;_ @_ "/>
    <numFmt numFmtId="166" formatCode="0.00"/>
    <numFmt numFmtId="167" formatCode="0.0%"/>
    <numFmt numFmtId="168" formatCode="0%"/>
    <numFmt numFmtId="169" formatCode="0.000"/>
    <numFmt numFmtId="170" formatCode="0.00%"/>
    <numFmt numFmtId="171" formatCode="_-* #,##0&quot; €&quot;_-;\-* #,##0&quot; €&quot;_-;_-* &quot;- €&quot;_-;_-@"/>
    <numFmt numFmtId="172" formatCode="0.0"/>
    <numFmt numFmtId="173" formatCode="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sz val="9"/>
      <color rgb="FF333333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9"/>
      <color rgb="FFC0502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color rgb="FF999999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Cambria"/>
      <family val="1"/>
      <charset val="1"/>
    </font>
    <font>
      <sz val="10"/>
      <color rgb="FF0000FF"/>
      <name val="Arial"/>
      <family val="2"/>
      <charset val="1"/>
    </font>
    <font>
      <sz val="9"/>
      <color rgb="FF888888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sz val="9"/>
      <color rgb="FF666666"/>
      <name val="Cambria"/>
      <family val="1"/>
      <charset val="1"/>
    </font>
    <font>
      <b val="true"/>
      <sz val="11"/>
      <color rgb="FF8855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9"/>
      <color rgb="FFCC0000"/>
      <name val="Arial"/>
      <family val="2"/>
      <charset val="1"/>
    </font>
    <font>
      <b val="true"/>
      <sz val="10"/>
      <color rgb="FF006100"/>
      <name val="Arial"/>
      <family val="2"/>
      <charset val="1"/>
    </font>
    <font>
      <b val="true"/>
      <sz val="11"/>
      <name val="Cambria"/>
      <family val="1"/>
      <charset val="1"/>
    </font>
    <font>
      <b val="true"/>
      <sz val="8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8E8"/>
        <bgColor rgb="FFD9E2F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D6E4F0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D9E2F3"/>
      </patternFill>
    </fill>
    <fill>
      <patternFill patternType="solid">
        <fgColor rgb="FFF2CCFF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88888"/>
      <rgbColor rgb="FF9999FF"/>
      <rgbColor rgb="FFC05020"/>
      <rgbColor rgb="FFF2F7FB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FFF99"/>
      <rgbColor rgb="FF99CCFF"/>
      <rgbColor rgb="FFFF99CC"/>
      <rgbColor rgb="FFCC99FF"/>
      <rgbColor rgb="FFF2CCFF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885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22" activeCellId="0" sqref="C22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2" min="2" style="1" width="42.14"/>
    <col collapsed="false" customWidth="true" hidden="false" outlineLevel="0" max="3" min="3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7" customFormat="false" ht="15" hidden="false" customHeight="true" outlineLevel="0" collapsed="false">
      <c r="B7" s="3" t="s">
        <v>7</v>
      </c>
    </row>
    <row r="8" customFormat="false" ht="15" hidden="false" customHeight="true" outlineLevel="0" collapsed="false">
      <c r="B8" s="5" t="s">
        <v>8</v>
      </c>
      <c r="C8" s="4" t="s">
        <v>9</v>
      </c>
    </row>
    <row r="9" customFormat="false" ht="15" hidden="false" customHeight="true" outlineLevel="0" collapsed="false">
      <c r="B9" s="5" t="s">
        <v>10</v>
      </c>
      <c r="C9" s="4" t="s">
        <v>11</v>
      </c>
    </row>
    <row r="10" customFormat="false" ht="15" hidden="false" customHeight="true" outlineLevel="0" collapsed="false">
      <c r="B10" s="5" t="s">
        <v>12</v>
      </c>
      <c r="C10" s="4" t="s">
        <v>13</v>
      </c>
    </row>
    <row r="11" customFormat="false" ht="15" hidden="false" customHeight="true" outlineLevel="0" collapsed="false">
      <c r="B11" s="5" t="s">
        <v>14</v>
      </c>
      <c r="C11" s="4" t="s">
        <v>15</v>
      </c>
    </row>
    <row r="12" customFormat="false" ht="14.25" hidden="false" customHeight="false" outlineLevel="0" collapsed="false">
      <c r="B12" s="1" t="s">
        <v>16</v>
      </c>
      <c r="C12" s="1" t="s">
        <v>17</v>
      </c>
    </row>
    <row r="13" customFormat="false" ht="15" hidden="false" customHeight="true" outlineLevel="0" collapsed="false">
      <c r="B13" s="3" t="s">
        <v>18</v>
      </c>
      <c r="C13" s="1" t="s">
        <v>19</v>
      </c>
    </row>
    <row r="14" customFormat="false" ht="15" hidden="false" customHeight="true" outlineLevel="0" collapsed="false">
      <c r="B14" s="5" t="s">
        <v>20</v>
      </c>
      <c r="C14" s="4" t="s">
        <v>21</v>
      </c>
    </row>
    <row r="15" customFormat="false" ht="15" hidden="false" customHeight="true" outlineLevel="0" collapsed="false">
      <c r="B15" s="5" t="s">
        <v>22</v>
      </c>
      <c r="C15" s="4" t="s">
        <v>23</v>
      </c>
    </row>
    <row r="16" customFormat="false" ht="15" hidden="false" customHeight="true" outlineLevel="0" collapsed="false">
      <c r="B16" s="5" t="s">
        <v>24</v>
      </c>
      <c r="C16" s="4" t="s">
        <v>25</v>
      </c>
    </row>
    <row r="17" customFormat="false" ht="15" hidden="false" customHeight="true" outlineLevel="0" collapsed="false">
      <c r="B17" s="5" t="s">
        <v>26</v>
      </c>
      <c r="C17" s="4" t="s">
        <v>27</v>
      </c>
    </row>
    <row r="18" customFormat="false" ht="15" hidden="false" customHeight="true" outlineLevel="0" collapsed="false">
      <c r="B18" s="5" t="s">
        <v>28</v>
      </c>
      <c r="C18" s="4" t="s">
        <v>29</v>
      </c>
    </row>
    <row r="20" customFormat="false" ht="15" hidden="false" customHeight="true" outlineLevel="0" collapsed="false">
      <c r="B20" s="3" t="s">
        <v>30</v>
      </c>
    </row>
    <row r="21" customFormat="false" ht="15" hidden="false" customHeight="true" outlineLevel="0" collapsed="false">
      <c r="C21" s="4" t="s">
        <v>31</v>
      </c>
    </row>
    <row r="22" customFormat="false" ht="15" hidden="false" customHeight="true" outlineLevel="0" collapsed="false">
      <c r="C22" s="4" t="s">
        <v>32</v>
      </c>
    </row>
    <row r="23" customFormat="false" ht="15" hidden="false" customHeight="true" outlineLevel="0" collapsed="false">
      <c r="C23" s="4" t="s">
        <v>33</v>
      </c>
    </row>
    <row r="25" customFormat="false" ht="15" hidden="false" customHeight="true" outlineLevel="0" collapsed="false">
      <c r="B25" s="3" t="s">
        <v>34</v>
      </c>
    </row>
    <row r="26" customFormat="false" ht="15" hidden="false" customHeight="true" outlineLevel="0" collapsed="false">
      <c r="C26" s="4" t="s">
        <v>35</v>
      </c>
    </row>
    <row r="27" customFormat="false" ht="15" hidden="false" customHeight="true" outlineLevel="0" collapsed="false">
      <c r="C27" s="4" t="s">
        <v>36</v>
      </c>
    </row>
    <row r="28" customFormat="false" ht="15" hidden="false" customHeight="true" outlineLevel="0" collapsed="false">
      <c r="C28" s="4" t="s">
        <v>37</v>
      </c>
    </row>
    <row r="29" customFormat="false" ht="15" hidden="false" customHeight="true" outlineLevel="0" collapsed="false">
      <c r="C29" s="4"/>
    </row>
    <row r="105" customFormat="false" ht="14.25" hidden="false" customHeight="true" outlineLevel="0" collapsed="false">
      <c r="C105" s="6"/>
      <c r="D105" s="6"/>
      <c r="E105" s="6"/>
      <c r="F10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5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pane xSplit="2" ySplit="2" topLeftCell="C51" activePane="bottomRight" state="frozen"/>
      <selection pane="topLeft" activeCell="A1" activeCellId="0" sqref="A1"/>
      <selection pane="topRight" activeCell="C1" activeCellId="0" sqref="C1"/>
      <selection pane="bottomLeft" activeCell="A51" activeCellId="0" sqref="A51"/>
      <selection pane="bottomRight" activeCell="D70" activeCellId="0" sqref="D70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14"/>
    <col collapsed="false" customWidth="true" hidden="false" outlineLevel="0" max="6" min="3" style="1" width="14"/>
    <col collapsed="false" customWidth="true" hidden="false" outlineLevel="0" max="7" min="7" style="1" width="100"/>
  </cols>
  <sheetData>
    <row r="1" customFormat="false" ht="15" hidden="false" customHeight="true" outlineLevel="0" collapsed="false">
      <c r="A1" s="7" t="s">
        <v>38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</row>
    <row r="3" customFormat="false" ht="15" hidden="false" customHeight="true" outlineLevel="0" collapsed="false">
      <c r="A3" s="9"/>
      <c r="B3" s="10"/>
      <c r="C3" s="11"/>
      <c r="D3" s="9"/>
      <c r="E3" s="9"/>
      <c r="F3" s="9"/>
      <c r="G3" s="12"/>
    </row>
    <row r="4" customFormat="false" ht="15" hidden="false" customHeight="true" outlineLevel="0" collapsed="false">
      <c r="B4" s="13" t="s">
        <v>45</v>
      </c>
      <c r="C4" s="14"/>
      <c r="D4" s="14"/>
      <c r="E4" s="14"/>
      <c r="F4" s="14"/>
    </row>
    <row r="5" customFormat="false" ht="15" hidden="false" customHeight="true" outlineLevel="0" collapsed="false">
      <c r="B5" s="15" t="s">
        <v>46</v>
      </c>
    </row>
    <row r="6" customFormat="false" ht="15" hidden="false" customHeight="true" outlineLevel="0" collapsed="false">
      <c r="A6" s="16"/>
      <c r="B6" s="17" t="s">
        <v>47</v>
      </c>
      <c r="C6" s="18" t="s">
        <v>48</v>
      </c>
      <c r="D6" s="19" t="s">
        <v>49</v>
      </c>
      <c r="E6" s="19" t="s">
        <v>50</v>
      </c>
      <c r="F6" s="16"/>
      <c r="G6" s="20" t="s">
        <v>51</v>
      </c>
    </row>
    <row r="7" customFormat="false" ht="15" hidden="false" customHeight="true" outlineLevel="0" collapsed="false">
      <c r="A7" s="21"/>
      <c r="B7" s="22" t="s">
        <v>52</v>
      </c>
      <c r="C7" s="23" t="s">
        <v>53</v>
      </c>
      <c r="D7" s="24" t="n">
        <v>1</v>
      </c>
      <c r="E7" s="21" t="s">
        <v>54</v>
      </c>
      <c r="F7" s="21"/>
      <c r="G7" s="25" t="s">
        <v>55</v>
      </c>
    </row>
    <row r="8" customFormat="false" ht="15" hidden="false" customHeight="true" outlineLevel="0" collapsed="false">
      <c r="A8" s="16"/>
      <c r="B8" s="17" t="s">
        <v>56</v>
      </c>
      <c r="C8" s="18" t="s">
        <v>57</v>
      </c>
      <c r="D8" s="26" t="n">
        <v>4</v>
      </c>
      <c r="E8" s="16" t="s">
        <v>58</v>
      </c>
      <c r="F8" s="16"/>
      <c r="G8" s="25" t="s">
        <v>59</v>
      </c>
    </row>
    <row r="9" customFormat="false" ht="15" hidden="false" customHeight="true" outlineLevel="0" collapsed="false">
      <c r="A9" s="21"/>
      <c r="B9" s="22" t="s">
        <v>60</v>
      </c>
      <c r="C9" s="23" t="s">
        <v>61</v>
      </c>
      <c r="D9" s="24" t="n">
        <v>7</v>
      </c>
      <c r="E9" s="21" t="s">
        <v>58</v>
      </c>
      <c r="F9" s="21"/>
      <c r="G9" s="25" t="s">
        <v>62</v>
      </c>
    </row>
    <row r="10" customFormat="false" ht="15" hidden="false" customHeight="true" outlineLevel="0" collapsed="false">
      <c r="A10" s="16"/>
      <c r="B10" s="17" t="s">
        <v>63</v>
      </c>
      <c r="C10" s="18" t="s">
        <v>64</v>
      </c>
      <c r="D10" s="26" t="n">
        <v>10</v>
      </c>
      <c r="E10" s="16" t="s">
        <v>58</v>
      </c>
      <c r="F10" s="16"/>
      <c r="G10" s="25" t="s">
        <v>65</v>
      </c>
    </row>
    <row r="11" customFormat="false" ht="15" hidden="false" customHeight="true" outlineLevel="0" collapsed="false">
      <c r="A11" s="21"/>
      <c r="B11" s="22" t="s">
        <v>66</v>
      </c>
      <c r="C11" s="23" t="s">
        <v>67</v>
      </c>
      <c r="D11" s="24" t="n">
        <v>13</v>
      </c>
      <c r="E11" s="21" t="s">
        <v>58</v>
      </c>
      <c r="F11" s="21"/>
      <c r="G11" s="25" t="s">
        <v>68</v>
      </c>
    </row>
    <row r="13" customFormat="false" ht="15" hidden="false" customHeight="true" outlineLevel="0" collapsed="false">
      <c r="A13" s="27"/>
      <c r="B13" s="28" t="s">
        <v>69</v>
      </c>
      <c r="C13" s="27"/>
      <c r="D13" s="27"/>
      <c r="E13" s="27"/>
      <c r="F13" s="27"/>
    </row>
    <row r="14" customFormat="false" ht="15" hidden="false" customHeight="true" outlineLevel="0" collapsed="false">
      <c r="A14" s="27"/>
      <c r="B14" s="28" t="s">
        <v>70</v>
      </c>
      <c r="C14" s="27"/>
      <c r="D14" s="27"/>
      <c r="E14" s="27"/>
      <c r="F14" s="27"/>
    </row>
    <row r="15" customFormat="false" ht="15" hidden="false" customHeight="true" outlineLevel="0" collapsed="false">
      <c r="A15" s="16"/>
      <c r="B15" s="17" t="s">
        <v>71</v>
      </c>
      <c r="C15" s="18" t="n">
        <v>3900</v>
      </c>
      <c r="D15" s="26" t="n">
        <v>4900</v>
      </c>
      <c r="E15" s="26" t="n">
        <v>1900</v>
      </c>
      <c r="F15" s="17" t="n">
        <f aca="false">IF($C$150="Upside",$D15,IF($C$150="Downside",$E15,$C15))</f>
        <v>3900</v>
      </c>
      <c r="G15" s="25" t="s">
        <v>72</v>
      </c>
    </row>
    <row r="16" customFormat="false" ht="15" hidden="false" customHeight="true" outlineLevel="0" collapsed="false">
      <c r="A16" s="21"/>
      <c r="B16" s="22" t="s">
        <v>73</v>
      </c>
      <c r="C16" s="23" t="n">
        <v>1500</v>
      </c>
      <c r="D16" s="24" t="n">
        <v>2000</v>
      </c>
      <c r="E16" s="24" t="n">
        <v>800</v>
      </c>
      <c r="F16" s="22" t="n">
        <f aca="false">IF($C$150="Upside",$D16,IF($C$150="Downside",$E16,$C16))</f>
        <v>1500</v>
      </c>
      <c r="G16" s="25" t="s">
        <v>74</v>
      </c>
    </row>
    <row r="17" customFormat="false" ht="15" hidden="false" customHeight="true" outlineLevel="0" collapsed="false">
      <c r="A17" s="16"/>
      <c r="B17" s="17" t="s">
        <v>75</v>
      </c>
      <c r="C17" s="18" t="n">
        <v>1000</v>
      </c>
      <c r="D17" s="26" t="n">
        <v>1500</v>
      </c>
      <c r="E17" s="26" t="n">
        <v>500</v>
      </c>
      <c r="F17" s="17" t="n">
        <f aca="false">IF($C$150="Upside",$D17,IF($C$150="Downside",$E17,$C17))</f>
        <v>1000</v>
      </c>
      <c r="G17" s="25" t="s">
        <v>76</v>
      </c>
    </row>
    <row r="18" customFormat="false" ht="15" hidden="false" customHeight="true" outlineLevel="0" collapsed="false">
      <c r="A18" s="21"/>
      <c r="B18" s="22" t="s">
        <v>77</v>
      </c>
      <c r="C18" s="23" t="n">
        <v>1200</v>
      </c>
      <c r="D18" s="24" t="n">
        <v>1500</v>
      </c>
      <c r="E18" s="24" t="n">
        <v>800</v>
      </c>
      <c r="F18" s="22" t="n">
        <f aca="false">IF($C$150="Upside",$D18,IF($C$150="Downside",$E18,$C18))</f>
        <v>1200</v>
      </c>
      <c r="G18" s="25" t="s">
        <v>78</v>
      </c>
    </row>
    <row r="19" customFormat="false" ht="15" hidden="false" customHeight="true" outlineLevel="0" collapsed="false">
      <c r="A19" s="16"/>
      <c r="B19" s="17" t="s">
        <v>79</v>
      </c>
      <c r="C19" s="18" t="n">
        <v>1500</v>
      </c>
      <c r="D19" s="26" t="n">
        <v>2000</v>
      </c>
      <c r="E19" s="26" t="n">
        <v>800</v>
      </c>
      <c r="F19" s="17" t="n">
        <f aca="false">IF($C$150="Upside",$D19,IF($C$150="Downside",$E19,$C19))</f>
        <v>1500</v>
      </c>
      <c r="G19" s="25" t="s">
        <v>80</v>
      </c>
    </row>
    <row r="21" customFormat="false" ht="15" hidden="false" customHeight="true" outlineLevel="0" collapsed="false">
      <c r="A21" s="27"/>
      <c r="B21" s="28" t="s">
        <v>81</v>
      </c>
      <c r="C21" s="27"/>
      <c r="D21" s="27"/>
      <c r="E21" s="27"/>
      <c r="F21" s="27"/>
    </row>
    <row r="22" customFormat="false" ht="15" hidden="false" customHeight="true" outlineLevel="0" collapsed="false">
      <c r="A22" s="16"/>
      <c r="B22" s="17" t="s">
        <v>82</v>
      </c>
      <c r="C22" s="18" t="n">
        <v>6000</v>
      </c>
      <c r="D22" s="26" t="n">
        <v>8000</v>
      </c>
      <c r="E22" s="26" t="n">
        <v>2900</v>
      </c>
      <c r="F22" s="17" t="n">
        <f aca="false">IF($C$150="Upside",$D22,IF($C$150="Downside",$E22,$C22))</f>
        <v>6000</v>
      </c>
      <c r="G22" s="29"/>
    </row>
    <row r="23" customFormat="false" ht="15" hidden="false" customHeight="true" outlineLevel="0" collapsed="false">
      <c r="A23" s="21"/>
      <c r="B23" s="22" t="s">
        <v>83</v>
      </c>
      <c r="C23" s="23" t="n">
        <v>3000</v>
      </c>
      <c r="D23" s="24" t="n">
        <v>4000</v>
      </c>
      <c r="E23" s="24" t="n">
        <v>1500</v>
      </c>
      <c r="F23" s="22" t="n">
        <f aca="false">IF($C$150="Upside",$D23,IF($C$150="Downside",$E23,$C23))</f>
        <v>3000</v>
      </c>
      <c r="G23" s="29"/>
    </row>
    <row r="24" customFormat="false" ht="15" hidden="false" customHeight="true" outlineLevel="0" collapsed="false">
      <c r="A24" s="16"/>
      <c r="B24" s="17" t="s">
        <v>84</v>
      </c>
      <c r="C24" s="18" t="n">
        <v>2000</v>
      </c>
      <c r="D24" s="26" t="n">
        <v>3000</v>
      </c>
      <c r="E24" s="26" t="n">
        <v>1000</v>
      </c>
      <c r="F24" s="17" t="n">
        <f aca="false">IF($C$150="Upside",$D24,IF($C$150="Downside",$E24,$C24))</f>
        <v>2000</v>
      </c>
      <c r="G24" s="29"/>
    </row>
    <row r="25" customFormat="false" ht="15" hidden="false" customHeight="true" outlineLevel="0" collapsed="false">
      <c r="A25" s="21"/>
      <c r="B25" s="22" t="s">
        <v>85</v>
      </c>
      <c r="C25" s="23" t="n">
        <v>2500</v>
      </c>
      <c r="D25" s="24" t="n">
        <v>3500</v>
      </c>
      <c r="E25" s="24" t="n">
        <v>1500</v>
      </c>
      <c r="F25" s="22" t="n">
        <f aca="false">IF($C$150="Upside",$D25,IF($C$150="Downside",$E25,$C25))</f>
        <v>2500</v>
      </c>
      <c r="G25" s="29"/>
    </row>
    <row r="26" customFormat="false" ht="15" hidden="false" customHeight="true" outlineLevel="0" collapsed="false">
      <c r="A26" s="16"/>
      <c r="B26" s="17" t="s">
        <v>86</v>
      </c>
      <c r="C26" s="18" t="n">
        <v>3000</v>
      </c>
      <c r="D26" s="26" t="n">
        <v>4000</v>
      </c>
      <c r="E26" s="26" t="n">
        <v>1500</v>
      </c>
      <c r="F26" s="17" t="n">
        <f aca="false">IF($C$150="Upside",$D26,IF($C$150="Downside",$E26,$C26))</f>
        <v>3000</v>
      </c>
      <c r="G26" s="29"/>
    </row>
    <row r="28" customFormat="false" ht="15" hidden="false" customHeight="true" outlineLevel="0" collapsed="false">
      <c r="A28" s="27"/>
      <c r="B28" s="28" t="s">
        <v>87</v>
      </c>
      <c r="C28" s="27"/>
      <c r="D28" s="27"/>
      <c r="E28" s="27"/>
      <c r="F28" s="27"/>
    </row>
    <row r="29" customFormat="false" ht="15" hidden="false" customHeight="true" outlineLevel="0" collapsed="false">
      <c r="A29" s="16"/>
      <c r="B29" s="17" t="s">
        <v>88</v>
      </c>
      <c r="C29" s="18" t="n">
        <v>9000</v>
      </c>
      <c r="D29" s="26" t="n">
        <v>12000</v>
      </c>
      <c r="E29" s="26" t="n">
        <v>4000</v>
      </c>
      <c r="F29" s="17" t="n">
        <f aca="false">IF($C$150="Upside",$D29,IF($C$150="Downside",$E29,$C29))</f>
        <v>9000</v>
      </c>
      <c r="G29" s="29"/>
    </row>
    <row r="30" customFormat="false" ht="15" hidden="false" customHeight="true" outlineLevel="0" collapsed="false">
      <c r="A30" s="21"/>
      <c r="B30" s="22" t="s">
        <v>89</v>
      </c>
      <c r="C30" s="23" t="n">
        <v>5000</v>
      </c>
      <c r="D30" s="24" t="n">
        <v>7000</v>
      </c>
      <c r="E30" s="24" t="n">
        <v>2500</v>
      </c>
      <c r="F30" s="22" t="n">
        <f aca="false">IF($C$150="Upside",$D30,IF($C$150="Downside",$E30,$C30))</f>
        <v>5000</v>
      </c>
      <c r="G30" s="29"/>
    </row>
    <row r="31" customFormat="false" ht="15" hidden="false" customHeight="true" outlineLevel="0" collapsed="false">
      <c r="A31" s="16"/>
      <c r="B31" s="17" t="s">
        <v>90</v>
      </c>
      <c r="C31" s="18" t="n">
        <v>3500</v>
      </c>
      <c r="D31" s="26" t="n">
        <v>5000</v>
      </c>
      <c r="E31" s="26" t="n">
        <v>1500</v>
      </c>
      <c r="F31" s="17" t="n">
        <f aca="false">IF($C$150="Upside",$D31,IF($C$150="Downside",$E31,$C31))</f>
        <v>3500</v>
      </c>
      <c r="G31" s="29"/>
    </row>
    <row r="32" customFormat="false" ht="15" hidden="false" customHeight="true" outlineLevel="0" collapsed="false">
      <c r="A32" s="21"/>
      <c r="B32" s="22" t="s">
        <v>91</v>
      </c>
      <c r="C32" s="23" t="n">
        <v>4000</v>
      </c>
      <c r="D32" s="24" t="n">
        <v>5500</v>
      </c>
      <c r="E32" s="24" t="n">
        <v>2000</v>
      </c>
      <c r="F32" s="22" t="n">
        <f aca="false">IF($C$150="Upside",$D32,IF($C$150="Downside",$E32,$C32))</f>
        <v>4000</v>
      </c>
      <c r="G32" s="29"/>
    </row>
    <row r="33" customFormat="false" ht="15" hidden="false" customHeight="true" outlineLevel="0" collapsed="false">
      <c r="A33" s="16"/>
      <c r="B33" s="17" t="s">
        <v>92</v>
      </c>
      <c r="C33" s="18" t="n">
        <v>5000</v>
      </c>
      <c r="D33" s="26" t="n">
        <v>7000</v>
      </c>
      <c r="E33" s="26" t="n">
        <v>2500</v>
      </c>
      <c r="F33" s="17" t="n">
        <f aca="false">IF($C$150="Upside",$D33,IF($C$150="Downside",$E33,$C33))</f>
        <v>5000</v>
      </c>
      <c r="G33" s="29"/>
    </row>
    <row r="35" customFormat="false" ht="15" hidden="false" customHeight="true" outlineLevel="0" collapsed="false">
      <c r="A35" s="27"/>
      <c r="B35" s="28" t="s">
        <v>93</v>
      </c>
      <c r="C35" s="27"/>
      <c r="D35" s="27"/>
      <c r="E35" s="27"/>
      <c r="F35" s="27"/>
    </row>
    <row r="36" customFormat="false" ht="15" hidden="false" customHeight="true" outlineLevel="0" collapsed="false">
      <c r="A36" s="27"/>
      <c r="B36" s="28" t="s">
        <v>94</v>
      </c>
      <c r="C36" s="27"/>
      <c r="D36" s="27"/>
      <c r="E36" s="27"/>
      <c r="F36" s="27"/>
    </row>
    <row r="37" customFormat="false" ht="15" hidden="false" customHeight="true" outlineLevel="0" collapsed="false">
      <c r="A37" s="16"/>
      <c r="B37" s="17" t="s">
        <v>95</v>
      </c>
      <c r="C37" s="18" t="n">
        <v>208</v>
      </c>
      <c r="D37" s="26" t="n">
        <v>299</v>
      </c>
      <c r="E37" s="26" t="n">
        <v>149</v>
      </c>
      <c r="F37" s="17" t="n">
        <f aca="false">IF($C$150="Upside",$D37,IF($C$150="Downside",$E37,$C37))</f>
        <v>208</v>
      </c>
      <c r="G37" s="25" t="s">
        <v>96</v>
      </c>
    </row>
    <row r="38" customFormat="false" ht="15" hidden="false" customHeight="true" outlineLevel="0" collapsed="false">
      <c r="A38" s="21"/>
      <c r="B38" s="22" t="s">
        <v>97</v>
      </c>
      <c r="C38" s="23" t="n">
        <v>150</v>
      </c>
      <c r="D38" s="24" t="n">
        <v>200</v>
      </c>
      <c r="E38" s="24" t="n">
        <v>100</v>
      </c>
      <c r="F38" s="22" t="n">
        <f aca="false">IF($C$150="Upside",$D38,IF($C$150="Downside",$E38,$C38))</f>
        <v>150</v>
      </c>
      <c r="G38" s="25" t="s">
        <v>98</v>
      </c>
    </row>
    <row r="39" customFormat="false" ht="15" hidden="false" customHeight="true" outlineLevel="0" collapsed="false">
      <c r="A39" s="16"/>
      <c r="B39" s="17" t="s">
        <v>99</v>
      </c>
      <c r="C39" s="18" t="n">
        <v>100</v>
      </c>
      <c r="D39" s="26" t="n">
        <v>150</v>
      </c>
      <c r="E39" s="26" t="n">
        <v>60</v>
      </c>
      <c r="F39" s="17" t="n">
        <f aca="false">IF($C$150="Upside",$D39,IF($C$150="Downside",$E39,$C39))</f>
        <v>100</v>
      </c>
      <c r="G39" s="25" t="s">
        <v>100</v>
      </c>
    </row>
    <row r="40" customFormat="false" ht="15" hidden="false" customHeight="true" outlineLevel="0" collapsed="false">
      <c r="A40" s="21"/>
      <c r="B40" s="22" t="s">
        <v>101</v>
      </c>
      <c r="C40" s="23" t="n">
        <v>120</v>
      </c>
      <c r="D40" s="24" t="n">
        <v>160</v>
      </c>
      <c r="E40" s="24" t="n">
        <v>80</v>
      </c>
      <c r="F40" s="22" t="n">
        <f aca="false">IF($C$150="Upside",$D40,IF($C$150="Downside",$E40,$C40))</f>
        <v>120</v>
      </c>
      <c r="G40" s="25" t="s">
        <v>102</v>
      </c>
    </row>
    <row r="41" customFormat="false" ht="15" hidden="false" customHeight="true" outlineLevel="0" collapsed="false">
      <c r="A41" s="16"/>
      <c r="B41" s="17" t="s">
        <v>103</v>
      </c>
      <c r="C41" s="18" t="n">
        <v>150</v>
      </c>
      <c r="D41" s="26" t="n">
        <v>200</v>
      </c>
      <c r="E41" s="26" t="n">
        <v>100</v>
      </c>
      <c r="F41" s="17" t="n">
        <f aca="false">IF($C$150="Upside",$D41,IF($C$150="Downside",$E41,$C41))</f>
        <v>150</v>
      </c>
      <c r="G41" s="25" t="s">
        <v>104</v>
      </c>
    </row>
    <row r="43" customFormat="false" ht="15" hidden="false" customHeight="true" outlineLevel="0" collapsed="false">
      <c r="A43" s="27"/>
      <c r="B43" s="28" t="s">
        <v>105</v>
      </c>
      <c r="C43" s="27"/>
      <c r="D43" s="27"/>
      <c r="E43" s="27"/>
      <c r="F43" s="27"/>
    </row>
    <row r="44" customFormat="false" ht="15" hidden="false" customHeight="true" outlineLevel="0" collapsed="false">
      <c r="A44" s="16"/>
      <c r="B44" s="17" t="s">
        <v>106</v>
      </c>
      <c r="C44" s="18" t="n">
        <v>300</v>
      </c>
      <c r="D44" s="26" t="n">
        <v>400</v>
      </c>
      <c r="E44" s="26" t="n">
        <v>200</v>
      </c>
      <c r="F44" s="17" t="n">
        <f aca="false">IF($C$150="Upside",$D44,IF($C$150="Downside",$E44,$C44))</f>
        <v>300</v>
      </c>
      <c r="G44" s="29"/>
    </row>
    <row r="45" customFormat="false" ht="15" hidden="false" customHeight="true" outlineLevel="0" collapsed="false">
      <c r="A45" s="21"/>
      <c r="B45" s="22" t="s">
        <v>107</v>
      </c>
      <c r="C45" s="23" t="n">
        <v>350</v>
      </c>
      <c r="D45" s="24" t="n">
        <v>450</v>
      </c>
      <c r="E45" s="24" t="n">
        <v>200</v>
      </c>
      <c r="F45" s="22" t="n">
        <f aca="false">IF($C$150="Upside",$D45,IF($C$150="Downside",$E45,$C45))</f>
        <v>350</v>
      </c>
      <c r="G45" s="29"/>
    </row>
    <row r="46" customFormat="false" ht="15" hidden="false" customHeight="true" outlineLevel="0" collapsed="false">
      <c r="A46" s="16"/>
      <c r="B46" s="17" t="s">
        <v>108</v>
      </c>
      <c r="C46" s="18" t="n">
        <v>200</v>
      </c>
      <c r="D46" s="26" t="n">
        <v>300</v>
      </c>
      <c r="E46" s="26" t="n">
        <v>120</v>
      </c>
      <c r="F46" s="17" t="n">
        <f aca="false">IF($C$150="Upside",$D46,IF($C$150="Downside",$E46,$C46))</f>
        <v>200</v>
      </c>
      <c r="G46" s="29"/>
    </row>
    <row r="47" customFormat="false" ht="15" hidden="false" customHeight="true" outlineLevel="0" collapsed="false">
      <c r="A47" s="21"/>
      <c r="B47" s="22" t="s">
        <v>109</v>
      </c>
      <c r="C47" s="23" t="n">
        <v>300</v>
      </c>
      <c r="D47" s="24" t="n">
        <v>400</v>
      </c>
      <c r="E47" s="24" t="n">
        <v>180</v>
      </c>
      <c r="F47" s="22" t="n">
        <f aca="false">IF($C$150="Upside",$D47,IF($C$150="Downside",$E47,$C47))</f>
        <v>300</v>
      </c>
      <c r="G47" s="29"/>
    </row>
    <row r="48" customFormat="false" ht="15" hidden="false" customHeight="true" outlineLevel="0" collapsed="false">
      <c r="A48" s="16"/>
      <c r="B48" s="17" t="s">
        <v>110</v>
      </c>
      <c r="C48" s="18" t="n">
        <v>400</v>
      </c>
      <c r="D48" s="26" t="n">
        <v>500</v>
      </c>
      <c r="E48" s="26" t="n">
        <v>250</v>
      </c>
      <c r="F48" s="17" t="n">
        <f aca="false">IF($C$150="Upside",$D48,IF($C$150="Downside",$E48,$C48))</f>
        <v>400</v>
      </c>
      <c r="G48" s="29"/>
    </row>
    <row r="50" customFormat="false" ht="15" hidden="false" customHeight="true" outlineLevel="0" collapsed="false">
      <c r="A50" s="27"/>
      <c r="B50" s="28" t="s">
        <v>111</v>
      </c>
      <c r="C50" s="27"/>
      <c r="D50" s="27"/>
      <c r="E50" s="27"/>
      <c r="F50" s="27"/>
    </row>
    <row r="51" customFormat="false" ht="15" hidden="false" customHeight="true" outlineLevel="0" collapsed="false">
      <c r="A51" s="16"/>
      <c r="B51" s="17" t="s">
        <v>112</v>
      </c>
      <c r="C51" s="18" t="n">
        <v>500</v>
      </c>
      <c r="D51" s="26" t="n">
        <v>799</v>
      </c>
      <c r="E51" s="26" t="n">
        <v>349</v>
      </c>
      <c r="F51" s="17" t="n">
        <f aca="false">IF($C$150="Upside",$D51,IF($C$150="Downside",$E51,$C51))</f>
        <v>500</v>
      </c>
      <c r="G51" s="29"/>
    </row>
    <row r="52" customFormat="false" ht="15" hidden="false" customHeight="true" outlineLevel="0" collapsed="false">
      <c r="A52" s="21"/>
      <c r="B52" s="22" t="s">
        <v>113</v>
      </c>
      <c r="C52" s="23" t="n">
        <v>600</v>
      </c>
      <c r="D52" s="24" t="n">
        <v>800</v>
      </c>
      <c r="E52" s="24" t="n">
        <v>350</v>
      </c>
      <c r="F52" s="22" t="n">
        <f aca="false">IF($C$150="Upside",$D52,IF($C$150="Downside",$E52,$C52))</f>
        <v>600</v>
      </c>
      <c r="G52" s="29"/>
    </row>
    <row r="53" customFormat="false" ht="15" hidden="false" customHeight="true" outlineLevel="0" collapsed="false">
      <c r="A53" s="16"/>
      <c r="B53" s="17" t="s">
        <v>114</v>
      </c>
      <c r="C53" s="18" t="n">
        <v>400</v>
      </c>
      <c r="D53" s="26" t="n">
        <v>600</v>
      </c>
      <c r="E53" s="26" t="n">
        <v>250</v>
      </c>
      <c r="F53" s="17" t="n">
        <f aca="false">IF($C$150="Upside",$D53,IF($C$150="Downside",$E53,$C53))</f>
        <v>400</v>
      </c>
      <c r="G53" s="29"/>
    </row>
    <row r="54" customFormat="false" ht="15" hidden="false" customHeight="true" outlineLevel="0" collapsed="false">
      <c r="A54" s="21"/>
      <c r="B54" s="22" t="s">
        <v>115</v>
      </c>
      <c r="C54" s="23" t="n">
        <v>500</v>
      </c>
      <c r="D54" s="24" t="n">
        <v>700</v>
      </c>
      <c r="E54" s="24" t="n">
        <v>300</v>
      </c>
      <c r="F54" s="22" t="n">
        <f aca="false">IF($C$150="Upside",$D54,IF($C$150="Downside",$E54,$C54))</f>
        <v>500</v>
      </c>
      <c r="G54" s="29"/>
    </row>
    <row r="55" customFormat="false" ht="15" hidden="false" customHeight="true" outlineLevel="0" collapsed="false">
      <c r="A55" s="16"/>
      <c r="B55" s="17" t="s">
        <v>116</v>
      </c>
      <c r="C55" s="18" t="n">
        <v>700</v>
      </c>
      <c r="D55" s="26" t="n">
        <v>900</v>
      </c>
      <c r="E55" s="26" t="n">
        <v>450</v>
      </c>
      <c r="F55" s="17" t="n">
        <f aca="false">IF($C$150="Upside",$D55,IF($C$150="Downside",$E55,$C55))</f>
        <v>700</v>
      </c>
      <c r="G55" s="29"/>
    </row>
    <row r="57" customFormat="false" ht="15" hidden="false" customHeight="true" outlineLevel="0" collapsed="false">
      <c r="A57" s="27"/>
      <c r="B57" s="28" t="s">
        <v>117</v>
      </c>
      <c r="C57" s="27"/>
      <c r="D57" s="27"/>
      <c r="E57" s="27"/>
      <c r="F57" s="27"/>
    </row>
    <row r="58" customFormat="false" ht="15" hidden="false" customHeight="true" outlineLevel="0" collapsed="false">
      <c r="A58" s="21"/>
      <c r="B58" s="22" t="s">
        <v>118</v>
      </c>
      <c r="C58" s="23" t="n">
        <v>4000</v>
      </c>
      <c r="D58" s="24" t="n">
        <v>12000</v>
      </c>
      <c r="E58" s="24" t="n">
        <v>1500</v>
      </c>
      <c r="F58" s="22" t="n">
        <f aca="false">IF($C$150="Upside",$D58,IF($C$150="Downside",$E58,$C58))</f>
        <v>4000</v>
      </c>
      <c r="G58" s="25" t="s">
        <v>119</v>
      </c>
    </row>
    <row r="59" customFormat="false" ht="15" hidden="false" customHeight="true" outlineLevel="0" collapsed="false">
      <c r="A59" s="16"/>
      <c r="B59" s="17" t="s">
        <v>120</v>
      </c>
      <c r="C59" s="18" t="n">
        <v>30000</v>
      </c>
      <c r="D59" s="26" t="n">
        <v>60000</v>
      </c>
      <c r="E59" s="26" t="n">
        <v>9000</v>
      </c>
      <c r="F59" s="17" t="n">
        <f aca="false">IF($C$150="Upside",$D59,IF($C$150="Downside",$E59,$C59))</f>
        <v>30000</v>
      </c>
      <c r="G59" s="29"/>
    </row>
    <row r="60" customFormat="false" ht="15" hidden="false" customHeight="true" outlineLevel="0" collapsed="false">
      <c r="A60" s="21"/>
      <c r="B60" s="22" t="s">
        <v>121</v>
      </c>
      <c r="C60" s="23" t="n">
        <v>60000</v>
      </c>
      <c r="D60" s="24" t="n">
        <v>120000</v>
      </c>
      <c r="E60" s="24" t="n">
        <v>25000</v>
      </c>
      <c r="F60" s="22" t="n">
        <f aca="false">IF($C$150="Upside",$D60,IF($C$150="Downside",$E60,$C60))</f>
        <v>60000</v>
      </c>
      <c r="G60" s="29"/>
    </row>
    <row r="61" customFormat="false" ht="15" hidden="false" customHeight="true" outlineLevel="0" collapsed="false">
      <c r="A61" s="16"/>
      <c r="B61" s="17" t="s">
        <v>122</v>
      </c>
      <c r="C61" s="30" t="n">
        <v>0.22</v>
      </c>
      <c r="D61" s="31" t="n">
        <v>0.25</v>
      </c>
      <c r="E61" s="31" t="n">
        <v>0.18</v>
      </c>
      <c r="F61" s="32" t="n">
        <f aca="false">IF($C$150="Upside",$D61,IF($C$150="Downside",$E61,$C61))</f>
        <v>0.22</v>
      </c>
      <c r="G61" s="25" t="s">
        <v>123</v>
      </c>
    </row>
    <row r="62" customFormat="false" ht="15" hidden="false" customHeight="true" outlineLevel="0" collapsed="false">
      <c r="A62" s="21"/>
      <c r="B62" s="22" t="s">
        <v>124</v>
      </c>
      <c r="C62" s="33" t="n">
        <v>0.195</v>
      </c>
      <c r="D62" s="34" t="n">
        <v>0.22</v>
      </c>
      <c r="E62" s="34" t="n">
        <v>0.15</v>
      </c>
      <c r="F62" s="35" t="n">
        <f aca="false">IF($C$150="Upside",$D62,IF($C$150="Downside",$E62,$C62))</f>
        <v>0.195</v>
      </c>
      <c r="G62" s="25" t="s">
        <v>125</v>
      </c>
    </row>
    <row r="63" customFormat="false" ht="15" hidden="false" customHeight="true" outlineLevel="0" collapsed="false">
      <c r="A63" s="16"/>
      <c r="B63" s="17" t="s">
        <v>126</v>
      </c>
      <c r="C63" s="30" t="n">
        <v>0.16</v>
      </c>
      <c r="D63" s="31" t="n">
        <v>0.18</v>
      </c>
      <c r="E63" s="31" t="n">
        <v>0.12</v>
      </c>
      <c r="F63" s="32" t="n">
        <f aca="false">IF($C$150="Upside",$D63,IF($C$150="Downside",$E63,$C63))</f>
        <v>0.16</v>
      </c>
      <c r="G63" s="25" t="s">
        <v>127</v>
      </c>
    </row>
    <row r="64" customFormat="false" ht="15" hidden="false" customHeight="true" outlineLevel="0" collapsed="false">
      <c r="A64" s="21"/>
      <c r="B64" s="22" t="s">
        <v>128</v>
      </c>
      <c r="C64" s="36" t="n">
        <v>0.015</v>
      </c>
      <c r="D64" s="37" t="n">
        <v>0.025</v>
      </c>
      <c r="E64" s="37" t="n">
        <v>0.01</v>
      </c>
      <c r="F64" s="38" t="n">
        <f aca="false">IF($C$150="Upside",$D64,IF($C$150="Downside",$E64,$C64))</f>
        <v>0.015</v>
      </c>
      <c r="G64" s="39" t="s">
        <v>129</v>
      </c>
    </row>
    <row r="65" customFormat="false" ht="15" hidden="false" customHeight="true" outlineLevel="0" collapsed="false">
      <c r="A65" s="16"/>
      <c r="B65" s="17" t="s">
        <v>130</v>
      </c>
      <c r="C65" s="40" t="n">
        <v>0.03</v>
      </c>
      <c r="D65" s="41" t="n">
        <v>0.04</v>
      </c>
      <c r="E65" s="41" t="n">
        <v>0.02</v>
      </c>
      <c r="F65" s="42" t="n">
        <f aca="false">IF($C$150="Upside",$D65,IF($C$150="Downside",$E65,$C65))</f>
        <v>0.03</v>
      </c>
      <c r="G65" s="43"/>
    </row>
    <row r="66" customFormat="false" ht="15" hidden="false" customHeight="true" outlineLevel="0" collapsed="false">
      <c r="A66" s="21"/>
      <c r="B66" s="22" t="s">
        <v>131</v>
      </c>
      <c r="C66" s="36" t="n">
        <v>0.045</v>
      </c>
      <c r="D66" s="37" t="n">
        <v>0.06</v>
      </c>
      <c r="E66" s="37" t="n">
        <v>0.03</v>
      </c>
      <c r="F66" s="38" t="n">
        <f aca="false">IF($C$150="Upside",$D66,IF($C$150="Downside",$E66,$C66))</f>
        <v>0.045</v>
      </c>
      <c r="G66" s="43"/>
    </row>
    <row r="67" customFormat="false" ht="15" hidden="false" customHeight="true" outlineLevel="0" collapsed="false">
      <c r="A67" s="16"/>
      <c r="B67" s="17" t="s">
        <v>132</v>
      </c>
      <c r="C67" s="40" t="n">
        <v>0.15</v>
      </c>
      <c r="D67" s="41" t="n">
        <v>0.2</v>
      </c>
      <c r="E67" s="41" t="n">
        <v>0.1</v>
      </c>
      <c r="F67" s="42" t="n">
        <f aca="false">IF($C$150="Upside",$D67,IF($C$150="Downside",$E67,$C67))</f>
        <v>0.15</v>
      </c>
      <c r="G67" s="25" t="s">
        <v>133</v>
      </c>
    </row>
    <row r="68" customFormat="false" ht="15" hidden="false" customHeight="true" outlineLevel="0" collapsed="false">
      <c r="A68" s="44"/>
      <c r="B68" s="45"/>
      <c r="C68" s="46"/>
      <c r="D68" s="46"/>
      <c r="E68" s="46"/>
      <c r="F68" s="45"/>
      <c r="G68" s="25"/>
    </row>
    <row r="69" customFormat="false" ht="15" hidden="false" customHeight="true" outlineLevel="0" collapsed="false">
      <c r="A69" s="21"/>
      <c r="B69" s="22" t="s">
        <v>134</v>
      </c>
      <c r="C69" s="23" t="n">
        <v>8000</v>
      </c>
      <c r="D69" s="24" t="n">
        <v>15000</v>
      </c>
      <c r="E69" s="24" t="n">
        <v>5000</v>
      </c>
      <c r="F69" s="22" t="n">
        <f aca="false">IF($C$150="Upside",$D69,IF($C$150="Downside",$E69,$C69))</f>
        <v>8000</v>
      </c>
      <c r="G69" s="25" t="s">
        <v>135</v>
      </c>
    </row>
    <row r="70" customFormat="false" ht="15" hidden="false" customHeight="true" outlineLevel="0" collapsed="false">
      <c r="A70" s="16"/>
      <c r="B70" s="17" t="s">
        <v>136</v>
      </c>
      <c r="C70" s="18" t="n">
        <v>50000</v>
      </c>
      <c r="D70" s="26" t="n">
        <v>80000</v>
      </c>
      <c r="E70" s="26" t="n">
        <v>20000</v>
      </c>
      <c r="F70" s="17" t="n">
        <f aca="false">IF($C$150="Upside",$D70,IF($C$150="Downside",$E70,$C70))</f>
        <v>50000</v>
      </c>
      <c r="G70" s="25"/>
    </row>
    <row r="71" customFormat="false" ht="15" hidden="false" customHeight="true" outlineLevel="0" collapsed="false">
      <c r="A71" s="21"/>
      <c r="B71" s="22" t="s">
        <v>137</v>
      </c>
      <c r="C71" s="23" t="n">
        <v>100000</v>
      </c>
      <c r="D71" s="24" t="n">
        <v>150000</v>
      </c>
      <c r="E71" s="24" t="n">
        <v>50000</v>
      </c>
      <c r="F71" s="22" t="n">
        <f aca="false">IF($C$150="Upside",$D71,IF($C$150="Downside",$E71,$C71))</f>
        <v>100000</v>
      </c>
      <c r="G71" s="25"/>
    </row>
    <row r="72" customFormat="false" ht="15" hidden="false" customHeight="true" outlineLevel="0" collapsed="false">
      <c r="A72" s="44"/>
      <c r="B72" s="45"/>
      <c r="C72" s="47"/>
      <c r="D72" s="46"/>
      <c r="E72" s="46"/>
      <c r="F72" s="45"/>
      <c r="G72" s="25"/>
    </row>
    <row r="73" customFormat="false" ht="15" hidden="false" customHeight="true" outlineLevel="0" collapsed="false">
      <c r="A73" s="27"/>
      <c r="B73" s="28" t="s">
        <v>138</v>
      </c>
      <c r="C73" s="48"/>
      <c r="D73" s="48"/>
      <c r="E73" s="48"/>
      <c r="F73" s="49"/>
      <c r="G73" s="25"/>
    </row>
    <row r="74" customFormat="false" ht="15" hidden="false" customHeight="true" outlineLevel="0" collapsed="false">
      <c r="A74" s="21"/>
      <c r="B74" s="22" t="s">
        <v>139</v>
      </c>
      <c r="C74" s="23" t="n">
        <v>6</v>
      </c>
      <c r="D74" s="24" t="n">
        <v>7</v>
      </c>
      <c r="E74" s="24" t="n">
        <v>5</v>
      </c>
      <c r="F74" s="22" t="n">
        <f aca="false">IF($C$150="Upside",$D74,IF($C$150="Downside",$E74,$C74))</f>
        <v>6</v>
      </c>
      <c r="G74" s="25" t="s">
        <v>140</v>
      </c>
    </row>
    <row r="75" customFormat="false" ht="15" hidden="false" customHeight="true" outlineLevel="0" collapsed="false">
      <c r="A75" s="16"/>
      <c r="B75" s="17" t="s">
        <v>141</v>
      </c>
      <c r="C75" s="18" t="n">
        <v>1</v>
      </c>
      <c r="D75" s="26" t="n">
        <v>2</v>
      </c>
      <c r="E75" s="26" t="n">
        <v>0</v>
      </c>
      <c r="F75" s="17" t="n">
        <f aca="false">IF($C$150="Upside",$D75,IF($C$150="Downside",$E75,$C75))</f>
        <v>1</v>
      </c>
      <c r="G75" s="25" t="s">
        <v>142</v>
      </c>
    </row>
    <row r="76" customFormat="false" ht="15" hidden="false" customHeight="true" outlineLevel="0" collapsed="false">
      <c r="A76" s="21"/>
      <c r="B76" s="22" t="s">
        <v>143</v>
      </c>
      <c r="C76" s="23" t="n">
        <v>0</v>
      </c>
      <c r="D76" s="24" t="n">
        <v>1</v>
      </c>
      <c r="E76" s="24" t="n">
        <v>0</v>
      </c>
      <c r="F76" s="22" t="n">
        <f aca="false">IF($C$150="Upside",$D76,IF($C$150="Downside",$E76,$C76))</f>
        <v>0</v>
      </c>
      <c r="G76" s="25" t="s">
        <v>144</v>
      </c>
    </row>
    <row r="78" customFormat="false" ht="15" hidden="false" customHeight="true" outlineLevel="0" collapsed="false">
      <c r="A78" s="27"/>
      <c r="B78" s="28" t="s">
        <v>145</v>
      </c>
      <c r="C78" s="27"/>
      <c r="D78" s="27"/>
      <c r="E78" s="27"/>
      <c r="F78" s="27"/>
    </row>
    <row r="79" customFormat="false" ht="15" hidden="false" customHeight="true" outlineLevel="0" collapsed="false">
      <c r="A79" s="21"/>
      <c r="B79" s="22" t="s">
        <v>146</v>
      </c>
      <c r="C79" s="50" t="n">
        <v>0.5</v>
      </c>
      <c r="D79" s="37" t="n">
        <v>0.6</v>
      </c>
      <c r="E79" s="37" t="n">
        <v>0.4</v>
      </c>
      <c r="F79" s="38" t="n">
        <f aca="false">IF($C$150="Upside",$D79,IF($C$150="Downside",$E79,$C79))</f>
        <v>0.5</v>
      </c>
      <c r="G79" s="39" t="s">
        <v>147</v>
      </c>
    </row>
    <row r="80" customFormat="false" ht="15" hidden="false" customHeight="true" outlineLevel="0" collapsed="false">
      <c r="A80" s="16"/>
      <c r="B80" s="17" t="s">
        <v>148</v>
      </c>
      <c r="C80" s="51" t="n">
        <v>0.25</v>
      </c>
      <c r="D80" s="41" t="n">
        <v>0.3</v>
      </c>
      <c r="E80" s="41" t="n">
        <v>0.15</v>
      </c>
      <c r="F80" s="42" t="n">
        <f aca="false">IF($C$150="Upside",$D80,IF($C$150="Downside",$E80,$C80))</f>
        <v>0.25</v>
      </c>
      <c r="G80" s="39" t="s">
        <v>149</v>
      </c>
    </row>
    <row r="81" customFormat="false" ht="15" hidden="false" customHeight="true" outlineLevel="0" collapsed="false">
      <c r="A81" s="21"/>
      <c r="B81" s="22" t="s">
        <v>150</v>
      </c>
      <c r="C81" s="50" t="n">
        <v>0.1</v>
      </c>
      <c r="D81" s="37" t="n">
        <v>0.15</v>
      </c>
      <c r="E81" s="37" t="n">
        <v>0.05</v>
      </c>
      <c r="F81" s="38" t="n">
        <f aca="false">IF($C$150="Upside",$D81,IF($C$150="Downside",$E81,$C81))</f>
        <v>0.1</v>
      </c>
      <c r="G81" s="39" t="s">
        <v>151</v>
      </c>
    </row>
    <row r="82" customFormat="false" ht="15" hidden="false" customHeight="true" outlineLevel="0" collapsed="false">
      <c r="A82" s="16"/>
      <c r="B82" s="17" t="s">
        <v>152</v>
      </c>
      <c r="C82" s="18" t="n">
        <v>2</v>
      </c>
      <c r="D82" s="26" t="n">
        <v>3</v>
      </c>
      <c r="E82" s="26" t="n">
        <v>1</v>
      </c>
      <c r="F82" s="17" t="n">
        <f aca="false">IF($C$150="Upside",$D82,IF($C$150="Downside",$E82,$C82))</f>
        <v>2</v>
      </c>
      <c r="G82" s="25" t="s">
        <v>153</v>
      </c>
    </row>
    <row r="83" customFormat="false" ht="15" hidden="false" customHeight="true" outlineLevel="0" collapsed="false">
      <c r="A83" s="21"/>
      <c r="B83" s="22" t="s">
        <v>154</v>
      </c>
      <c r="C83" s="51" t="n">
        <v>0.2</v>
      </c>
      <c r="D83" s="41" t="n">
        <v>0.25</v>
      </c>
      <c r="E83" s="41" t="n">
        <v>0.15</v>
      </c>
      <c r="F83" s="42" t="n">
        <f aca="false">IF($C$150="Upside",$D83,IF($C$150="Downside",$E83,$C83))</f>
        <v>0.2</v>
      </c>
      <c r="G83" s="39" t="s">
        <v>155</v>
      </c>
    </row>
    <row r="85" customFormat="false" ht="15" hidden="false" customHeight="true" outlineLevel="0" collapsed="false">
      <c r="A85" s="27"/>
      <c r="B85" s="28" t="s">
        <v>156</v>
      </c>
      <c r="C85" s="27"/>
      <c r="D85" s="27"/>
      <c r="E85" s="27"/>
      <c r="F85" s="27"/>
    </row>
    <row r="86" customFormat="false" ht="15" hidden="false" customHeight="true" outlineLevel="0" collapsed="false">
      <c r="A86" s="21"/>
      <c r="B86" s="22" t="s">
        <v>157</v>
      </c>
      <c r="C86" s="52" t="n">
        <v>0.5625</v>
      </c>
      <c r="D86" s="53" t="n">
        <v>0.47</v>
      </c>
      <c r="E86" s="53" t="n">
        <v>0.75</v>
      </c>
      <c r="F86" s="38" t="n">
        <f aca="false">IF($C$150="Upside",$D86,IF($C$150="Downside",$E86,$C86))</f>
        <v>0.5625</v>
      </c>
      <c r="G86" s="25" t="s">
        <v>158</v>
      </c>
    </row>
    <row r="87" customFormat="false" ht="15" hidden="false" customHeight="true" outlineLevel="0" collapsed="false">
      <c r="A87" s="16"/>
      <c r="B87" s="17" t="s">
        <v>159</v>
      </c>
      <c r="C87" s="40" t="n">
        <v>0.3125</v>
      </c>
      <c r="D87" s="41" t="n">
        <v>0.325</v>
      </c>
      <c r="E87" s="41" t="n">
        <v>0.15</v>
      </c>
      <c r="F87" s="42" t="n">
        <f aca="false">IF($C$150="Upside",$D87,IF($C$150="Downside",$E87,$C87))</f>
        <v>0.3125</v>
      </c>
      <c r="G87" s="39" t="s">
        <v>160</v>
      </c>
    </row>
    <row r="88" customFormat="false" ht="15" hidden="false" customHeight="true" outlineLevel="0" collapsed="false">
      <c r="A88" s="21"/>
      <c r="B88" s="22" t="s">
        <v>161</v>
      </c>
      <c r="C88" s="36" t="n">
        <v>0.125</v>
      </c>
      <c r="D88" s="37" t="n">
        <f aca="false">1-D86-D87</f>
        <v>0.205</v>
      </c>
      <c r="E88" s="37" t="n">
        <v>0.1</v>
      </c>
      <c r="F88" s="38" t="n">
        <f aca="false">IF($C$150="Upside",$D88,IF($C$150="Downside",$E88,$C88))</f>
        <v>0.125</v>
      </c>
      <c r="G88" s="39" t="s">
        <v>162</v>
      </c>
      <c r="H88" s="54" t="n">
        <f aca="false">C88/SUM($C$86:$C$88)</f>
        <v>0.125</v>
      </c>
    </row>
    <row r="89" customFormat="false" ht="15" hidden="false" customHeight="true" outlineLevel="0" collapsed="false">
      <c r="A89" s="16"/>
      <c r="B89" s="17" t="s">
        <v>163</v>
      </c>
      <c r="C89" s="18" t="n">
        <v>1</v>
      </c>
      <c r="D89" s="26" t="n">
        <v>1</v>
      </c>
      <c r="E89" s="26" t="n">
        <v>2</v>
      </c>
      <c r="F89" s="17" t="n">
        <f aca="false">IF($C$150="Upside",$D89,IF($C$150="Downside",$E89,$C89))</f>
        <v>1</v>
      </c>
      <c r="G89" s="25" t="s">
        <v>164</v>
      </c>
    </row>
    <row r="90" customFormat="false" ht="15" hidden="false" customHeight="true" outlineLevel="0" collapsed="false">
      <c r="A90" s="21"/>
      <c r="B90" s="22" t="s">
        <v>165</v>
      </c>
      <c r="C90" s="23" t="n">
        <v>3</v>
      </c>
      <c r="D90" s="24" t="n">
        <v>2</v>
      </c>
      <c r="E90" s="24" t="n">
        <v>4</v>
      </c>
      <c r="F90" s="22" t="n">
        <f aca="false">IF($C$150="Upside",$D90,IF($C$150="Downside",$E90,$C90))</f>
        <v>3</v>
      </c>
      <c r="G90" s="25" t="s">
        <v>166</v>
      </c>
    </row>
    <row r="91" customFormat="false" ht="15" hidden="false" customHeight="true" outlineLevel="0" collapsed="false">
      <c r="A91" s="16"/>
      <c r="B91" s="17" t="s">
        <v>167</v>
      </c>
      <c r="C91" s="18" t="n">
        <v>6</v>
      </c>
      <c r="D91" s="26" t="n">
        <v>5</v>
      </c>
      <c r="E91" s="26" t="n">
        <v>9</v>
      </c>
      <c r="F91" s="17" t="n">
        <f aca="false">IF($C$150="Upside",$D91,IF($C$150="Downside",$E91,$C91))</f>
        <v>6</v>
      </c>
      <c r="G91" s="25" t="s">
        <v>168</v>
      </c>
    </row>
    <row r="93" customFormat="false" ht="15" hidden="false" customHeight="true" outlineLevel="0" collapsed="false">
      <c r="A93" s="27"/>
      <c r="B93" s="28" t="s">
        <v>169</v>
      </c>
      <c r="C93" s="27"/>
      <c r="D93" s="27"/>
      <c r="E93" s="27"/>
      <c r="F93" s="27"/>
    </row>
    <row r="94" customFormat="false" ht="15" hidden="false" customHeight="true" outlineLevel="0" collapsed="false">
      <c r="A94" s="21"/>
      <c r="B94" s="22" t="s">
        <v>170</v>
      </c>
      <c r="C94" s="23"/>
      <c r="D94" s="55"/>
      <c r="E94" s="55"/>
      <c r="F94" s="55"/>
      <c r="G94" s="54"/>
    </row>
    <row r="95" customFormat="false" ht="15" hidden="false" customHeight="true" outlineLevel="0" collapsed="false">
      <c r="A95" s="16"/>
      <c r="B95" s="17" t="s">
        <v>171</v>
      </c>
      <c r="C95" s="40" t="n">
        <v>0.08</v>
      </c>
      <c r="D95" s="41" t="n">
        <v>0.12</v>
      </c>
      <c r="E95" s="41" t="n">
        <v>0.05</v>
      </c>
      <c r="F95" s="42" t="n">
        <f aca="false">IF($C$150="Upside",$D95,IF($C$150="Downside",$E95,$C95))</f>
        <v>0.08</v>
      </c>
      <c r="G95" s="25" t="s">
        <v>172</v>
      </c>
    </row>
    <row r="96" customFormat="false" ht="15" hidden="false" customHeight="true" outlineLevel="0" collapsed="false">
      <c r="A96" s="21"/>
      <c r="B96" s="22" t="s">
        <v>173</v>
      </c>
      <c r="C96" s="36" t="n">
        <v>0.06</v>
      </c>
      <c r="D96" s="37" t="n">
        <v>0.1</v>
      </c>
      <c r="E96" s="37" t="n">
        <v>0.03</v>
      </c>
      <c r="F96" s="38" t="n">
        <f aca="false">IF($C$150="Upside",$D96,IF($C$150="Downside",$E96,$C96))</f>
        <v>0.06</v>
      </c>
      <c r="G96" s="25" t="s">
        <v>174</v>
      </c>
    </row>
    <row r="97" customFormat="false" ht="15" hidden="false" customHeight="true" outlineLevel="0" collapsed="false">
      <c r="A97" s="16"/>
      <c r="B97" s="17" t="s">
        <v>175</v>
      </c>
      <c r="C97" s="40" t="n">
        <v>0.05</v>
      </c>
      <c r="D97" s="41" t="n">
        <v>0.08</v>
      </c>
      <c r="E97" s="41" t="n">
        <v>0.03</v>
      </c>
      <c r="F97" s="42" t="n">
        <f aca="false">IF($C$150="Upside",$D97,IF($C$150="Downside",$E97,$C97))</f>
        <v>0.05</v>
      </c>
      <c r="G97" s="25" t="s">
        <v>176</v>
      </c>
    </row>
    <row r="98" customFormat="false" ht="15" hidden="false" customHeight="true" outlineLevel="0" collapsed="false">
      <c r="A98" s="21"/>
      <c r="B98" s="22" t="s">
        <v>177</v>
      </c>
      <c r="C98" s="36" t="n">
        <v>0.07</v>
      </c>
      <c r="D98" s="37" t="n">
        <v>0.1</v>
      </c>
      <c r="E98" s="37" t="n">
        <v>0.04</v>
      </c>
      <c r="F98" s="38" t="n">
        <f aca="false">IF($C$150="Upside",$D98,IF($C$150="Downside",$E98,$C98))</f>
        <v>0.07</v>
      </c>
      <c r="G98" s="25" t="s">
        <v>178</v>
      </c>
    </row>
    <row r="99" customFormat="false" ht="15" hidden="false" customHeight="true" outlineLevel="0" collapsed="false">
      <c r="A99" s="16"/>
      <c r="B99" s="17" t="s">
        <v>179</v>
      </c>
      <c r="C99" s="18"/>
      <c r="D99" s="56"/>
      <c r="E99" s="56"/>
      <c r="F99" s="56"/>
      <c r="G99" s="54"/>
    </row>
    <row r="100" customFormat="false" ht="15" hidden="false" customHeight="true" outlineLevel="0" collapsed="false">
      <c r="A100" s="21"/>
      <c r="B100" s="22" t="s">
        <v>180</v>
      </c>
      <c r="C100" s="36" t="n">
        <v>0.15</v>
      </c>
      <c r="D100" s="37" t="n">
        <v>0.25</v>
      </c>
      <c r="E100" s="37" t="n">
        <v>0.1</v>
      </c>
      <c r="F100" s="38" t="n">
        <f aca="false">IF($C$150="Upside",$D100,IF($C$150="Downside",$E100,$C100))</f>
        <v>0.15</v>
      </c>
      <c r="G100" s="39" t="s">
        <v>181</v>
      </c>
    </row>
    <row r="101" customFormat="false" ht="15" hidden="false" customHeight="true" outlineLevel="0" collapsed="false">
      <c r="A101" s="16"/>
      <c r="B101" s="17" t="s">
        <v>182</v>
      </c>
      <c r="C101" s="40" t="n">
        <v>0.1</v>
      </c>
      <c r="D101" s="41" t="n">
        <v>0.15</v>
      </c>
      <c r="E101" s="41" t="n">
        <v>0.05</v>
      </c>
      <c r="F101" s="42" t="n">
        <f aca="false">IF($C$150="Upside",$D101,IF($C$150="Downside",$E101,$C101))</f>
        <v>0.1</v>
      </c>
      <c r="G101" s="43"/>
    </row>
    <row r="102" customFormat="false" ht="15" hidden="false" customHeight="true" outlineLevel="0" collapsed="false">
      <c r="A102" s="21"/>
      <c r="B102" s="22" t="s">
        <v>183</v>
      </c>
      <c r="C102" s="36" t="n">
        <v>0.05</v>
      </c>
      <c r="D102" s="37" t="n">
        <v>0.1</v>
      </c>
      <c r="E102" s="37" t="n">
        <v>0.03</v>
      </c>
      <c r="F102" s="38" t="n">
        <f aca="false">IF($C$150="Upside",$D102,IF($C$150="Downside",$E102,$C102))</f>
        <v>0.05</v>
      </c>
      <c r="G102" s="43"/>
    </row>
    <row r="103" customFormat="false" ht="15" hidden="false" customHeight="true" outlineLevel="0" collapsed="false">
      <c r="A103" s="16"/>
      <c r="B103" s="17" t="s">
        <v>184</v>
      </c>
      <c r="C103" s="40" t="n">
        <v>0.08</v>
      </c>
      <c r="D103" s="41" t="n">
        <v>0.12</v>
      </c>
      <c r="E103" s="41" t="n">
        <v>0.04</v>
      </c>
      <c r="F103" s="42" t="n">
        <f aca="false">IF($C$150="Upside",$D103,IF($C$150="Downside",$E103,$C103))</f>
        <v>0.08</v>
      </c>
      <c r="G103" s="43"/>
    </row>
    <row r="104" customFormat="false" ht="15" hidden="false" customHeight="true" outlineLevel="0" collapsed="false">
      <c r="A104" s="21"/>
      <c r="B104" s="22" t="s">
        <v>185</v>
      </c>
      <c r="C104" s="36" t="n">
        <v>0.025</v>
      </c>
      <c r="D104" s="37" t="n">
        <v>0.018</v>
      </c>
      <c r="E104" s="37" t="n">
        <v>0.035</v>
      </c>
      <c r="F104" s="38" t="n">
        <f aca="false">IF($C$150="Upside",$D104,IF($C$150="Downside",$E104,$C104))</f>
        <v>0.025</v>
      </c>
      <c r="G104" s="39" t="s">
        <v>186</v>
      </c>
    </row>
    <row r="105" customFormat="false" ht="15" hidden="false" customHeight="true" outlineLevel="0" collapsed="false">
      <c r="A105" s="16"/>
      <c r="B105" s="17" t="s">
        <v>187</v>
      </c>
      <c r="C105" s="40" t="n">
        <v>0.015</v>
      </c>
      <c r="D105" s="41" t="n">
        <v>0.01</v>
      </c>
      <c r="E105" s="41" t="n">
        <v>0.02</v>
      </c>
      <c r="F105" s="42" t="n">
        <f aca="false">IF($C$150="Upside",$D105,IF($C$150="Downside",$E105,$C105))</f>
        <v>0.015</v>
      </c>
      <c r="G105" s="39" t="s">
        <v>188</v>
      </c>
    </row>
    <row r="106" customFormat="false" ht="15" hidden="false" customHeight="true" outlineLevel="0" collapsed="false">
      <c r="A106" s="21"/>
      <c r="B106" s="22" t="s">
        <v>189</v>
      </c>
      <c r="C106" s="36" t="n">
        <v>0.008</v>
      </c>
      <c r="D106" s="37" t="n">
        <v>0.005</v>
      </c>
      <c r="E106" s="37" t="n">
        <v>0.012</v>
      </c>
      <c r="F106" s="38" t="n">
        <f aca="false">IF($C$150="Upside",$D106,IF($C$150="Downside",$E106,$C106))</f>
        <v>0.008</v>
      </c>
      <c r="G106" s="39" t="s">
        <v>190</v>
      </c>
    </row>
    <row r="108" customFormat="false" ht="15" hidden="false" customHeight="true" outlineLevel="0" collapsed="false">
      <c r="A108" s="27"/>
      <c r="B108" s="28" t="s">
        <v>191</v>
      </c>
      <c r="C108" s="27"/>
      <c r="D108" s="27"/>
      <c r="E108" s="27"/>
      <c r="F108" s="27"/>
    </row>
    <row r="109" customFormat="false" ht="15" hidden="false" customHeight="true" outlineLevel="0" collapsed="false">
      <c r="A109" s="21"/>
      <c r="B109" s="22" t="s">
        <v>192</v>
      </c>
      <c r="C109" s="57" t="n">
        <v>0.03</v>
      </c>
      <c r="D109" s="58" t="n">
        <v>0.025</v>
      </c>
      <c r="E109" s="58" t="n">
        <v>0.035</v>
      </c>
      <c r="F109" s="59" t="n">
        <f aca="false">IF($C$150="Upside",$D109,IF($C$150="Downside",$E109,$C109))</f>
        <v>0.03</v>
      </c>
      <c r="G109" s="25" t="s">
        <v>193</v>
      </c>
    </row>
    <row r="110" customFormat="false" ht="15" hidden="false" customHeight="true" outlineLevel="0" collapsed="false">
      <c r="A110" s="16"/>
      <c r="B110" s="17" t="s">
        <v>194</v>
      </c>
      <c r="C110" s="60" t="n">
        <v>0.025</v>
      </c>
      <c r="D110" s="61" t="n">
        <v>0.02</v>
      </c>
      <c r="E110" s="61" t="n">
        <v>0.03</v>
      </c>
      <c r="F110" s="62" t="n">
        <f aca="false">IF($C$150="Upside",$D110,IF($C$150="Downside",$E110,$C110))</f>
        <v>0.025</v>
      </c>
      <c r="G110" s="25" t="s">
        <v>195</v>
      </c>
    </row>
    <row r="111" customFormat="false" ht="15" hidden="false" customHeight="true" outlineLevel="0" collapsed="false">
      <c r="A111" s="21"/>
      <c r="B111" s="22" t="s">
        <v>196</v>
      </c>
      <c r="C111" s="57" t="n">
        <v>0.02</v>
      </c>
      <c r="D111" s="58" t="n">
        <v>0.015</v>
      </c>
      <c r="E111" s="58" t="n">
        <v>0.025</v>
      </c>
      <c r="F111" s="59" t="n">
        <f aca="false">IF($C$150="Upside",$D111,IF($C$150="Downside",$E111,$C111))</f>
        <v>0.02</v>
      </c>
      <c r="G111" s="25" t="s">
        <v>197</v>
      </c>
    </row>
    <row r="112" customFormat="false" ht="15" hidden="false" customHeight="true" outlineLevel="0" collapsed="false">
      <c r="A112" s="16"/>
      <c r="B112" s="17" t="s">
        <v>198</v>
      </c>
      <c r="C112" s="40" t="n">
        <v>0.08</v>
      </c>
      <c r="D112" s="41" t="n">
        <v>0.05</v>
      </c>
      <c r="E112" s="41" t="n">
        <v>0.12</v>
      </c>
      <c r="F112" s="42" t="n">
        <f aca="false">IF($C$150="Upside",$D112,IF($C$150="Downside",$E112,$C112))</f>
        <v>0.08</v>
      </c>
      <c r="G112" s="39" t="s">
        <v>199</v>
      </c>
    </row>
    <row r="113" customFormat="false" ht="15" hidden="false" customHeight="true" outlineLevel="0" collapsed="false">
      <c r="A113" s="21"/>
      <c r="B113" s="22" t="s">
        <v>200</v>
      </c>
      <c r="C113" s="36" t="n">
        <v>0.12</v>
      </c>
      <c r="D113" s="37" t="n">
        <v>0.08</v>
      </c>
      <c r="E113" s="37" t="n">
        <v>0.16</v>
      </c>
      <c r="F113" s="38" t="n">
        <f aca="false">IF($C$150="Upside",$D113,IF($C$150="Downside",$E113,$C113))</f>
        <v>0.12</v>
      </c>
      <c r="G113" s="39" t="s">
        <v>201</v>
      </c>
    </row>
    <row r="114" customFormat="false" ht="15" hidden="false" customHeight="true" outlineLevel="0" collapsed="false">
      <c r="A114" s="16"/>
      <c r="B114" s="17" t="s">
        <v>202</v>
      </c>
      <c r="C114" s="40" t="n">
        <v>0.18</v>
      </c>
      <c r="D114" s="41" t="n">
        <v>0.12</v>
      </c>
      <c r="E114" s="41" t="n">
        <v>0.24</v>
      </c>
      <c r="F114" s="42" t="n">
        <f aca="false">IF($C$150="Upside",$D114,IF($C$150="Downside",$E114,$C114))</f>
        <v>0.18</v>
      </c>
      <c r="G114" s="39" t="s">
        <v>203</v>
      </c>
    </row>
    <row r="115" customFormat="false" ht="15" hidden="false" customHeight="true" outlineLevel="0" collapsed="false">
      <c r="A115" s="21"/>
      <c r="B115" s="22" t="s">
        <v>204</v>
      </c>
      <c r="C115" s="36" t="n">
        <v>0.15</v>
      </c>
      <c r="D115" s="37" t="n">
        <v>0.12</v>
      </c>
      <c r="E115" s="37" t="n">
        <v>0.2</v>
      </c>
      <c r="F115" s="38" t="n">
        <f aca="false">IF($C$150="Upside",$D115,IF($C$150="Downside",$E115,$C115))</f>
        <v>0.15</v>
      </c>
      <c r="G115" s="39" t="s">
        <v>205</v>
      </c>
    </row>
    <row r="116" customFormat="false" ht="15" hidden="false" customHeight="true" outlineLevel="0" collapsed="false">
      <c r="A116" s="16"/>
      <c r="B116" s="17" t="s">
        <v>206</v>
      </c>
      <c r="C116" s="40" t="n">
        <v>0.7</v>
      </c>
      <c r="D116" s="41" t="n">
        <v>0.6</v>
      </c>
      <c r="E116" s="41" t="n">
        <v>0.8</v>
      </c>
      <c r="F116" s="42" t="n">
        <f aca="false">IF($C$150="Upside",$D116,IF($C$150="Downside",$E116,$C116))</f>
        <v>0.7</v>
      </c>
      <c r="G116" s="39" t="s">
        <v>207</v>
      </c>
    </row>
    <row r="118" customFormat="false" ht="15" hidden="false" customHeight="true" outlineLevel="0" collapsed="false">
      <c r="A118" s="21"/>
      <c r="B118" s="22" t="s">
        <v>208</v>
      </c>
      <c r="C118" s="23" t="n">
        <v>16667</v>
      </c>
      <c r="D118" s="24" t="n">
        <v>23333</v>
      </c>
      <c r="E118" s="24" t="n">
        <v>11667</v>
      </c>
      <c r="F118" s="22" t="n">
        <f aca="false">IF($C$150="Upside",$D118,IF($C$150="Downside",$E118,$C118))</f>
        <v>16667</v>
      </c>
      <c r="G118" s="25" t="s">
        <v>209</v>
      </c>
    </row>
    <row r="119" customFormat="false" ht="15" hidden="false" customHeight="true" outlineLevel="0" collapsed="false">
      <c r="A119" s="16"/>
      <c r="B119" s="17" t="s">
        <v>210</v>
      </c>
      <c r="C119" s="63" t="n">
        <v>0.4</v>
      </c>
      <c r="D119" s="41" t="n">
        <v>0.4</v>
      </c>
      <c r="E119" s="41" t="n">
        <v>0.5</v>
      </c>
      <c r="F119" s="42" t="n">
        <f aca="false">IF($C$150="Upside",$D119,IF($C$150="Downside",$E119,$C119))</f>
        <v>0.4</v>
      </c>
      <c r="G119" s="39" t="s">
        <v>211</v>
      </c>
    </row>
    <row r="120" customFormat="false" ht="15" hidden="false" customHeight="true" outlineLevel="0" collapsed="false">
      <c r="A120" s="21"/>
      <c r="B120" s="22" t="s">
        <v>212</v>
      </c>
      <c r="C120" s="64" t="n">
        <v>0.25</v>
      </c>
      <c r="D120" s="37" t="n">
        <v>0.2</v>
      </c>
      <c r="E120" s="37" t="n">
        <v>0.3</v>
      </c>
      <c r="F120" s="38" t="n">
        <f aca="false">IF($C$150="Upside",$D120,IF($C$150="Downside",$E120,$C120))</f>
        <v>0.25</v>
      </c>
      <c r="G120" s="39" t="s">
        <v>213</v>
      </c>
    </row>
    <row r="121" customFormat="false" ht="15" hidden="false" customHeight="true" outlineLevel="0" collapsed="false">
      <c r="A121" s="16"/>
      <c r="B121" s="17" t="s">
        <v>214</v>
      </c>
      <c r="C121" s="65" t="n">
        <v>13333</v>
      </c>
      <c r="D121" s="65" t="n">
        <v>18333</v>
      </c>
      <c r="E121" s="65" t="n">
        <v>10000</v>
      </c>
      <c r="F121" s="65" t="n">
        <f aca="false">IF($C$150="Upside",$D121,IF($C$150="Downside",$E121,$C121))</f>
        <v>13333</v>
      </c>
      <c r="G121" s="39"/>
    </row>
    <row r="122" customFormat="false" ht="15" hidden="false" customHeight="true" outlineLevel="0" collapsed="false">
      <c r="A122" s="21"/>
      <c r="B122" s="22" t="s">
        <v>215</v>
      </c>
      <c r="C122" s="64" t="n">
        <v>0.3</v>
      </c>
      <c r="D122" s="37" t="n">
        <v>0.35</v>
      </c>
      <c r="E122" s="37" t="n">
        <v>0.25</v>
      </c>
      <c r="F122" s="38" t="n">
        <f aca="false">IF($C$150="Upside",$D122,IF($C$150="Downside",$E122,$C122))</f>
        <v>0.3</v>
      </c>
      <c r="G122" s="39"/>
    </row>
    <row r="123" customFormat="false" ht="15" hidden="false" customHeight="true" outlineLevel="0" collapsed="false">
      <c r="A123" s="16"/>
      <c r="B123" s="17" t="s">
        <v>216</v>
      </c>
      <c r="C123" s="40" t="n">
        <v>0.15</v>
      </c>
      <c r="D123" s="41" t="n">
        <v>0.12</v>
      </c>
      <c r="E123" s="41" t="n">
        <v>0.2</v>
      </c>
      <c r="F123" s="42" t="n">
        <f aca="false">IF($C$150="Upside",$D123,IF($C$150="Downside",$E123,$C123))</f>
        <v>0.15</v>
      </c>
      <c r="G123" s="39"/>
    </row>
    <row r="124" customFormat="false" ht="15" hidden="false" customHeight="true" outlineLevel="0" collapsed="false">
      <c r="A124" s="21"/>
      <c r="B124" s="22" t="s">
        <v>217</v>
      </c>
      <c r="C124" s="23" t="n">
        <v>6667</v>
      </c>
      <c r="D124" s="24" t="n">
        <v>8333</v>
      </c>
      <c r="E124" s="24" t="n">
        <v>5000</v>
      </c>
      <c r="F124" s="22" t="n">
        <f aca="false">IF($C$150="Upside",$D124,IF($C$150="Downside",$E124,$C124))</f>
        <v>6667</v>
      </c>
      <c r="G124" s="25"/>
    </row>
    <row r="125" customFormat="false" ht="15" hidden="false" customHeight="true" outlineLevel="0" collapsed="false">
      <c r="A125" s="16"/>
      <c r="B125" s="17" t="s">
        <v>218</v>
      </c>
      <c r="C125" s="63" t="n">
        <v>0.15</v>
      </c>
      <c r="D125" s="41" t="n">
        <v>0.18</v>
      </c>
      <c r="E125" s="41" t="n">
        <v>0.12</v>
      </c>
      <c r="F125" s="42" t="n">
        <f aca="false">IF($C$150="Upside",$D125,IF($C$150="Downside",$E125,$C125))</f>
        <v>0.15</v>
      </c>
      <c r="G125" s="39" t="s">
        <v>219</v>
      </c>
    </row>
    <row r="126" customFormat="false" ht="15" hidden="false" customHeight="true" outlineLevel="0" collapsed="false">
      <c r="A126" s="21"/>
      <c r="B126" s="22" t="s">
        <v>220</v>
      </c>
      <c r="C126" s="64" t="n">
        <v>0.08</v>
      </c>
      <c r="D126" s="37" t="n">
        <v>0.06</v>
      </c>
      <c r="E126" s="37" t="n">
        <v>0.1</v>
      </c>
      <c r="F126" s="38" t="n">
        <f aca="false">IF($C$150="Upside",$D126,IF($C$150="Downside",$E126,$C126))</f>
        <v>0.08</v>
      </c>
      <c r="G126" s="39"/>
    </row>
    <row r="127" customFormat="false" ht="15" hidden="false" customHeight="true" outlineLevel="0" collapsed="false">
      <c r="A127" s="16"/>
      <c r="B127" s="17" t="s">
        <v>221</v>
      </c>
      <c r="C127" s="18" t="n">
        <v>0.083</v>
      </c>
      <c r="D127" s="26" t="n">
        <v>0.33</v>
      </c>
      <c r="E127" s="26" t="n">
        <v>0.05</v>
      </c>
      <c r="F127" s="17" t="n">
        <f aca="false">IF($C$150="Upside",$D127,IF($C$150="Downside",$E127,$C127))</f>
        <v>0.083</v>
      </c>
      <c r="G127" s="25" t="s">
        <v>222</v>
      </c>
    </row>
    <row r="128" customFormat="false" ht="15" hidden="false" customHeight="true" outlineLevel="0" collapsed="false">
      <c r="A128" s="21"/>
      <c r="B128" s="22" t="s">
        <v>223</v>
      </c>
      <c r="C128" s="23" t="n">
        <v>0.167</v>
      </c>
      <c r="D128" s="24" t="n">
        <v>0.33</v>
      </c>
      <c r="E128" s="24" t="n">
        <v>0</v>
      </c>
      <c r="F128" s="22" t="n">
        <f aca="false">IF($C$150="Upside",$D128,IF($C$150="Downside",$E128,$C128))</f>
        <v>0.167</v>
      </c>
      <c r="G128" s="29" t="s">
        <v>224</v>
      </c>
    </row>
    <row r="129" customFormat="false" ht="15" hidden="false" customHeight="true" outlineLevel="0" collapsed="false">
      <c r="A129" s="16"/>
      <c r="B129" s="17" t="s">
        <v>225</v>
      </c>
      <c r="C129" s="18" t="n">
        <v>0</v>
      </c>
      <c r="D129" s="26" t="n">
        <v>0</v>
      </c>
      <c r="E129" s="26" t="n">
        <v>0</v>
      </c>
      <c r="F129" s="17" t="n">
        <f aca="false">IF($C$150="Upside",$D129,IF($C$150="Downside",$E129,$C129))</f>
        <v>0</v>
      </c>
      <c r="G129" s="29"/>
    </row>
    <row r="130" customFormat="false" ht="15" hidden="false" customHeight="true" outlineLevel="0" collapsed="false">
      <c r="A130" s="21"/>
      <c r="B130" s="22" t="s">
        <v>226</v>
      </c>
      <c r="C130" s="23" t="n">
        <v>10000</v>
      </c>
      <c r="D130" s="24" t="n">
        <v>15000</v>
      </c>
      <c r="E130" s="24" t="n">
        <v>5000</v>
      </c>
      <c r="F130" s="22" t="n">
        <f aca="false">IF($C$150="Upside",$D130,IF($C$150="Downside",$E130,$C130))</f>
        <v>10000</v>
      </c>
      <c r="G130" s="25" t="s">
        <v>227</v>
      </c>
    </row>
    <row r="131" customFormat="false" ht="15" hidden="false" customHeight="true" outlineLevel="0" collapsed="false">
      <c r="A131" s="16"/>
      <c r="B131" s="17" t="s">
        <v>228</v>
      </c>
      <c r="C131" s="18" t="n">
        <v>20000</v>
      </c>
      <c r="D131" s="26" t="n">
        <v>30000</v>
      </c>
      <c r="E131" s="26" t="n">
        <v>10000</v>
      </c>
      <c r="F131" s="17" t="n">
        <f aca="false">IF($C$150="Upside",$D131,IF($C$150="Downside",$E131,$C131))</f>
        <v>20000</v>
      </c>
      <c r="G131" s="25" t="s">
        <v>229</v>
      </c>
    </row>
    <row r="133" customFormat="false" ht="15" hidden="false" customHeight="true" outlineLevel="0" collapsed="false">
      <c r="A133" s="27"/>
      <c r="B133" s="28" t="s">
        <v>230</v>
      </c>
      <c r="C133" s="27"/>
      <c r="D133" s="27"/>
      <c r="E133" s="27"/>
      <c r="F133" s="27"/>
    </row>
    <row r="134" customFormat="false" ht="15" hidden="false" customHeight="true" outlineLevel="0" collapsed="false">
      <c r="A134" s="21"/>
      <c r="B134" s="22" t="s">
        <v>231</v>
      </c>
      <c r="C134" s="36" t="n">
        <v>0.1</v>
      </c>
      <c r="D134" s="37" t="n">
        <v>0.1</v>
      </c>
      <c r="E134" s="37" t="n">
        <v>0.1</v>
      </c>
      <c r="F134" s="38" t="n">
        <f aca="false">IF($C$150="Upside",$D134,IF($C$150="Downside",$E134,$C134))</f>
        <v>0.1</v>
      </c>
      <c r="G134" s="39" t="s">
        <v>232</v>
      </c>
    </row>
    <row r="135" customFormat="false" ht="15" hidden="false" customHeight="true" outlineLevel="0" collapsed="false">
      <c r="A135" s="16"/>
      <c r="B135" s="17" t="s">
        <v>233</v>
      </c>
      <c r="C135" s="40" t="n">
        <v>0.4</v>
      </c>
      <c r="D135" s="41" t="n">
        <v>0.5</v>
      </c>
      <c r="E135" s="41" t="n">
        <v>0.3</v>
      </c>
      <c r="F135" s="42" t="n">
        <f aca="false">IF($C$150="Upside",$D135,IF($C$150="Downside",$E135,$C135))</f>
        <v>0.4</v>
      </c>
      <c r="G135" s="39" t="s">
        <v>234</v>
      </c>
    </row>
    <row r="136" customFormat="false" ht="15" hidden="false" customHeight="true" outlineLevel="0" collapsed="false">
      <c r="A136" s="21"/>
      <c r="B136" s="22" t="s">
        <v>235</v>
      </c>
      <c r="C136" s="23" t="n">
        <v>30</v>
      </c>
      <c r="D136" s="24" t="n">
        <v>25</v>
      </c>
      <c r="E136" s="24" t="n">
        <v>45</v>
      </c>
      <c r="F136" s="22" t="n">
        <f aca="false">IF($C$150="Upside",$D136,IF($C$150="Downside",$E136,$C136))</f>
        <v>30</v>
      </c>
      <c r="G136" s="25" t="s">
        <v>236</v>
      </c>
    </row>
    <row r="137" customFormat="false" ht="15" hidden="false" customHeight="true" outlineLevel="0" collapsed="false">
      <c r="A137" s="16"/>
      <c r="B137" s="17" t="s">
        <v>237</v>
      </c>
      <c r="C137" s="18" t="n">
        <v>30</v>
      </c>
      <c r="D137" s="26" t="n">
        <v>35</v>
      </c>
      <c r="E137" s="26" t="n">
        <v>25</v>
      </c>
      <c r="F137" s="17" t="n">
        <f aca="false">IF($C$150="Upside",$D137,IF($C$150="Downside",$E137,$C137))</f>
        <v>30</v>
      </c>
      <c r="G137" s="25" t="s">
        <v>238</v>
      </c>
    </row>
    <row r="139" customFormat="false" ht="15" hidden="false" customHeight="true" outlineLevel="0" collapsed="false">
      <c r="A139" s="27"/>
      <c r="B139" s="28" t="s">
        <v>239</v>
      </c>
      <c r="C139" s="27"/>
      <c r="D139" s="27"/>
      <c r="E139" s="27"/>
      <c r="F139" s="27"/>
    </row>
    <row r="140" customFormat="false" ht="15" hidden="false" customHeight="true" outlineLevel="0" collapsed="false">
      <c r="A140" s="21"/>
      <c r="B140" s="22" t="s">
        <v>240</v>
      </c>
      <c r="C140" s="36" t="n">
        <v>0.25</v>
      </c>
      <c r="D140" s="37" t="n">
        <v>0.25</v>
      </c>
      <c r="E140" s="37" t="n">
        <v>0.25</v>
      </c>
      <c r="F140" s="38" t="n">
        <f aca="false">IF($C$150="Upside",$D140,IF($C$150="Downside",$E140,$C140))</f>
        <v>0.25</v>
      </c>
      <c r="G140" s="39" t="s">
        <v>241</v>
      </c>
    </row>
    <row r="141" customFormat="false" ht="15" hidden="false" customHeight="true" outlineLevel="0" collapsed="false">
      <c r="A141" s="16"/>
      <c r="B141" s="17" t="s">
        <v>242</v>
      </c>
      <c r="C141" s="18" t="n">
        <v>0</v>
      </c>
      <c r="D141" s="26" t="n">
        <v>0</v>
      </c>
      <c r="E141" s="26" t="n">
        <v>0</v>
      </c>
      <c r="F141" s="17" t="n">
        <f aca="false">IF($C$150="Upside",$D141,IF($C$150="Downside",$E141,$C141))</f>
        <v>0</v>
      </c>
      <c r="G141" s="25" t="s">
        <v>243</v>
      </c>
    </row>
    <row r="142" customFormat="false" ht="15" hidden="false" customHeight="true" outlineLevel="0" collapsed="false">
      <c r="A142" s="21"/>
      <c r="B142" s="22" t="s">
        <v>244</v>
      </c>
      <c r="C142" s="23" t="n">
        <v>0</v>
      </c>
      <c r="D142" s="24" t="n">
        <v>0</v>
      </c>
      <c r="E142" s="24" t="n">
        <v>0</v>
      </c>
      <c r="F142" s="22" t="n">
        <f aca="false">IF($C$150="Upside",$D142,IF($C$150="Downside",$E142,$C142))</f>
        <v>0</v>
      </c>
      <c r="G142" s="25"/>
    </row>
    <row r="143" customFormat="false" ht="15" hidden="false" customHeight="true" outlineLevel="0" collapsed="false">
      <c r="A143" s="16"/>
      <c r="B143" s="17" t="s">
        <v>245</v>
      </c>
      <c r="C143" s="18" t="n">
        <v>0</v>
      </c>
      <c r="D143" s="26" t="n">
        <v>0</v>
      </c>
      <c r="E143" s="26" t="n">
        <v>0</v>
      </c>
      <c r="F143" s="17" t="n">
        <f aca="false">IF($C$150="Upside",$D143,IF($C$150="Downside",$E143,$C143))</f>
        <v>0</v>
      </c>
      <c r="G143" s="25"/>
    </row>
    <row r="145" customFormat="false" ht="15" hidden="false" customHeight="true" outlineLevel="0" collapsed="false">
      <c r="A145" s="27"/>
      <c r="B145" s="28" t="s">
        <v>246</v>
      </c>
      <c r="C145" s="27"/>
      <c r="D145" s="27"/>
      <c r="E145" s="27"/>
      <c r="F145" s="27"/>
    </row>
    <row r="146" customFormat="false" ht="15" hidden="false" customHeight="true" outlineLevel="0" collapsed="false">
      <c r="A146" s="21"/>
      <c r="B146" s="22" t="s">
        <v>247</v>
      </c>
      <c r="C146" s="36" t="n">
        <v>0.1</v>
      </c>
      <c r="D146" s="37" t="n">
        <v>0.12</v>
      </c>
      <c r="E146" s="37" t="n">
        <v>0.08</v>
      </c>
      <c r="F146" s="38" t="n">
        <f aca="false">IF($C$150="Upside",$D146,IF($C$150="Downside",$E146,$C146))</f>
        <v>0.1</v>
      </c>
      <c r="G146" s="39" t="s">
        <v>248</v>
      </c>
    </row>
    <row r="147" customFormat="false" ht="15" hidden="false" customHeight="true" outlineLevel="0" collapsed="false">
      <c r="A147" s="16"/>
      <c r="B147" s="17" t="s">
        <v>249</v>
      </c>
      <c r="C147" s="18" t="n">
        <v>20</v>
      </c>
      <c r="D147" s="16"/>
      <c r="E147" s="16"/>
      <c r="F147" s="16"/>
      <c r="G147" s="25" t="s">
        <v>250</v>
      </c>
    </row>
    <row r="149" customFormat="false" ht="15" hidden="false" customHeight="true" outlineLevel="0" collapsed="false">
      <c r="A149" s="27"/>
      <c r="B149" s="66" t="s">
        <v>251</v>
      </c>
      <c r="C149" s="66"/>
      <c r="D149" s="66"/>
      <c r="E149" s="66"/>
      <c r="F149" s="66"/>
    </row>
    <row r="150" customFormat="false" ht="15" hidden="false" customHeight="true" outlineLevel="0" collapsed="false">
      <c r="A150" s="21"/>
      <c r="B150" s="66" t="s">
        <v>252</v>
      </c>
      <c r="C150" s="67" t="s">
        <v>40</v>
      </c>
      <c r="D150" s="21" t="s">
        <v>253</v>
      </c>
      <c r="E150" s="21"/>
      <c r="F150" s="21"/>
    </row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0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pane xSplit="4" ySplit="3" topLeftCell="E48" activePane="bottomRight" state="frozen"/>
      <selection pane="topLeft" activeCell="A1" activeCellId="0" sqref="A1"/>
      <selection pane="topRight" activeCell="E1" activeCellId="0" sqref="E1"/>
      <selection pane="bottomLeft" activeCell="A48" activeCellId="0" sqref="A48"/>
      <selection pane="bottomRight" activeCell="I31" activeCellId="0" sqref="I3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29" min="4" style="1" width="13"/>
    <col collapsed="false" customWidth="true" hidden="false" outlineLevel="0" max="32" min="32" style="1" width="13.15"/>
    <col collapsed="false" customWidth="true" hidden="false" outlineLevel="0" max="33" min="33" style="1" width="14.42"/>
  </cols>
  <sheetData>
    <row r="1" customFormat="false" ht="15" hidden="false" customHeight="true" outlineLevel="0" collapsed="false">
      <c r="A1" s="7" t="s">
        <v>254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E2" s="68" t="s">
        <v>255</v>
      </c>
      <c r="F2" s="68"/>
      <c r="G2" s="68"/>
      <c r="H2" s="68"/>
      <c r="I2" s="68"/>
      <c r="J2" s="68"/>
      <c r="K2" s="68"/>
      <c r="L2" s="68"/>
      <c r="M2" s="68"/>
      <c r="N2" s="68" t="s">
        <v>256</v>
      </c>
      <c r="O2" s="68"/>
      <c r="P2" s="68"/>
      <c r="Q2" s="68"/>
      <c r="R2" s="68" t="s">
        <v>257</v>
      </c>
      <c r="S2" s="68"/>
      <c r="T2" s="68"/>
      <c r="U2" s="68"/>
      <c r="V2" s="68" t="s">
        <v>258</v>
      </c>
      <c r="W2" s="68"/>
      <c r="X2" s="68"/>
      <c r="Y2" s="68"/>
      <c r="Z2" s="68" t="s">
        <v>259</v>
      </c>
      <c r="AA2" s="68"/>
      <c r="AB2" s="68"/>
      <c r="AC2" s="68"/>
    </row>
    <row r="3" customFormat="false" ht="15" hidden="false" customHeight="true" outlineLevel="0" collapsed="false">
      <c r="A3" s="9"/>
      <c r="B3" s="10" t="s">
        <v>260</v>
      </c>
      <c r="C3" s="69" t="s">
        <v>261</v>
      </c>
      <c r="D3" s="70" t="s">
        <v>262</v>
      </c>
      <c r="E3" s="70" t="s">
        <v>263</v>
      </c>
      <c r="F3" s="70" t="s">
        <v>264</v>
      </c>
      <c r="G3" s="70" t="s">
        <v>265</v>
      </c>
      <c r="H3" s="70" t="s">
        <v>266</v>
      </c>
      <c r="I3" s="70" t="s">
        <v>267</v>
      </c>
      <c r="J3" s="70" t="s">
        <v>268</v>
      </c>
      <c r="K3" s="70" t="s">
        <v>269</v>
      </c>
      <c r="L3" s="70" t="s">
        <v>270</v>
      </c>
      <c r="M3" s="70" t="s">
        <v>271</v>
      </c>
      <c r="N3" s="70" t="s">
        <v>272</v>
      </c>
      <c r="O3" s="70" t="s">
        <v>273</v>
      </c>
      <c r="P3" s="70" t="s">
        <v>274</v>
      </c>
      <c r="Q3" s="70" t="s">
        <v>275</v>
      </c>
      <c r="R3" s="70" t="s">
        <v>272</v>
      </c>
      <c r="S3" s="70" t="s">
        <v>273</v>
      </c>
      <c r="T3" s="70" t="s">
        <v>274</v>
      </c>
      <c r="U3" s="70" t="s">
        <v>275</v>
      </c>
      <c r="V3" s="70" t="s">
        <v>272</v>
      </c>
      <c r="W3" s="70" t="s">
        <v>273</v>
      </c>
      <c r="X3" s="70" t="s">
        <v>274</v>
      </c>
      <c r="Y3" s="70" t="s">
        <v>275</v>
      </c>
      <c r="Z3" s="70" t="s">
        <v>272</v>
      </c>
      <c r="AA3" s="70" t="s">
        <v>273</v>
      </c>
      <c r="AB3" s="70" t="s">
        <v>274</v>
      </c>
      <c r="AC3" s="70" t="s">
        <v>275</v>
      </c>
    </row>
    <row r="4" customFormat="false" ht="15" hidden="false" customHeight="true" outlineLevel="0" collapsed="false">
      <c r="B4" s="15" t="s">
        <v>276</v>
      </c>
      <c r="C4" s="15" t="s">
        <v>277</v>
      </c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J4" s="15" t="n">
        <v>6</v>
      </c>
      <c r="K4" s="15" t="n">
        <v>7</v>
      </c>
      <c r="L4" s="15" t="n">
        <v>8</v>
      </c>
      <c r="M4" s="15" t="n">
        <v>9</v>
      </c>
      <c r="N4" s="15" t="n">
        <v>10</v>
      </c>
      <c r="O4" s="15" t="n">
        <v>13</v>
      </c>
      <c r="P4" s="15" t="n">
        <v>16</v>
      </c>
      <c r="Q4" s="15" t="n">
        <v>19</v>
      </c>
      <c r="R4" s="15" t="n">
        <v>22</v>
      </c>
      <c r="S4" s="15" t="n">
        <v>25</v>
      </c>
      <c r="T4" s="15" t="n">
        <v>28</v>
      </c>
      <c r="U4" s="15" t="n">
        <v>31</v>
      </c>
      <c r="V4" s="15" t="n">
        <v>34</v>
      </c>
      <c r="W4" s="15" t="n">
        <v>37</v>
      </c>
      <c r="X4" s="15" t="n">
        <v>40</v>
      </c>
      <c r="Y4" s="15" t="n">
        <v>43</v>
      </c>
      <c r="Z4" s="15" t="n">
        <v>46</v>
      </c>
      <c r="AA4" s="15" t="n">
        <v>49</v>
      </c>
      <c r="AB4" s="15" t="n">
        <v>52</v>
      </c>
      <c r="AC4" s="15" t="n">
        <v>55</v>
      </c>
    </row>
    <row r="5" customFormat="false" ht="15" hidden="false" customHeight="true" outlineLevel="0" collapsed="false">
      <c r="B5" s="15" t="s">
        <v>278</v>
      </c>
      <c r="C5" s="15" t="s">
        <v>277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3</v>
      </c>
      <c r="O5" s="15" t="n">
        <v>3</v>
      </c>
      <c r="P5" s="15" t="n">
        <v>3</v>
      </c>
      <c r="Q5" s="15" t="n">
        <v>3</v>
      </c>
      <c r="R5" s="15" t="n">
        <v>3</v>
      </c>
      <c r="S5" s="15" t="n">
        <v>3</v>
      </c>
      <c r="T5" s="15" t="n">
        <v>3</v>
      </c>
      <c r="U5" s="15" t="n">
        <v>3</v>
      </c>
      <c r="V5" s="15" t="n">
        <v>3</v>
      </c>
      <c r="W5" s="15" t="n">
        <v>3</v>
      </c>
      <c r="X5" s="15" t="n">
        <v>3</v>
      </c>
      <c r="Y5" s="15" t="n">
        <v>3</v>
      </c>
      <c r="Z5" s="15" t="n">
        <v>3</v>
      </c>
      <c r="AA5" s="15" t="n">
        <v>3</v>
      </c>
      <c r="AB5" s="15" t="n">
        <v>3</v>
      </c>
      <c r="AC5" s="15" t="n">
        <v>3</v>
      </c>
    </row>
    <row r="7" customFormat="false" ht="15" hidden="false" customHeight="true" outlineLevel="0" collapsed="false">
      <c r="A7" s="27"/>
      <c r="B7" s="28" t="s">
        <v>279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customFormat="false" ht="15" hidden="false" customHeight="true" outlineLevel="0" collapsed="false">
      <c r="A8" s="21"/>
      <c r="B8" s="22" t="s">
        <v>280</v>
      </c>
      <c r="C8" s="23" t="s">
        <v>281</v>
      </c>
      <c r="D8" s="21"/>
      <c r="E8" s="71" t="n">
        <f aca="false">1_Assumptions!$F$79+1_Assumptions!$F$80+1_Assumptions!$F$81</f>
        <v>0.85</v>
      </c>
      <c r="F8" s="71" t="n">
        <f aca="false">1_Assumptions!$F$79+1_Assumptions!$F$80+1_Assumptions!$F$81</f>
        <v>0.85</v>
      </c>
      <c r="G8" s="72" t="n">
        <f aca="false">1_Assumptions!$F$79+1_Assumptions!$F$80+1_Assumptions!$F$81</f>
        <v>0.85</v>
      </c>
      <c r="H8" s="71" t="n">
        <f aca="false">1_Assumptions!$F$79+1_Assumptions!$F$80+1_Assumptions!$F$81</f>
        <v>0.85</v>
      </c>
      <c r="I8" s="71" t="n">
        <f aca="false">1_Assumptions!$F$79+1_Assumptions!$F$80+1_Assumptions!$F$81</f>
        <v>0.85</v>
      </c>
      <c r="J8" s="71" t="n">
        <f aca="false">1_Assumptions!$F$79+1_Assumptions!$F$80+1_Assumptions!$F$81</f>
        <v>0.85</v>
      </c>
      <c r="K8" s="71" t="n">
        <f aca="false">1_Assumptions!$F$79+1_Assumptions!$F$80+1_Assumptions!$F$81</f>
        <v>0.85</v>
      </c>
      <c r="L8" s="71" t="n">
        <f aca="false">1_Assumptions!$F$79+1_Assumptions!$F$80+1_Assumptions!$F$81</f>
        <v>0.85</v>
      </c>
      <c r="M8" s="71" t="n">
        <f aca="false">1_Assumptions!$F$79+1_Assumptions!$F$80+1_Assumptions!$F$81</f>
        <v>0.85</v>
      </c>
      <c r="N8" s="71" t="n">
        <f aca="false">1_Assumptions!$F$79+1_Assumptions!$F$80+1_Assumptions!$F$81</f>
        <v>0.85</v>
      </c>
      <c r="O8" s="71" t="n">
        <f aca="false">1_Assumptions!$F$79+1_Assumptions!$F$80+1_Assumptions!$F$81</f>
        <v>0.85</v>
      </c>
      <c r="P8" s="71" t="n">
        <f aca="false">1_Assumptions!$F$79+1_Assumptions!$F$80+1_Assumptions!$F$81</f>
        <v>0.85</v>
      </c>
      <c r="Q8" s="71" t="n">
        <f aca="false">1_Assumptions!$F$79+1_Assumptions!$F$80+1_Assumptions!$F$81</f>
        <v>0.85</v>
      </c>
      <c r="R8" s="71" t="n">
        <f aca="false">1_Assumptions!$F$79+1_Assumptions!$F$80+1_Assumptions!$F$81</f>
        <v>0.85</v>
      </c>
      <c r="S8" s="71" t="n">
        <f aca="false">1_Assumptions!$F$79+1_Assumptions!$F$80+1_Assumptions!$F$81</f>
        <v>0.85</v>
      </c>
      <c r="T8" s="71" t="n">
        <f aca="false">1_Assumptions!$F$79+1_Assumptions!$F$80+1_Assumptions!$F$81</f>
        <v>0.85</v>
      </c>
      <c r="U8" s="71" t="n">
        <f aca="false">1_Assumptions!$F$79+1_Assumptions!$F$80+1_Assumptions!$F$81</f>
        <v>0.85</v>
      </c>
      <c r="V8" s="71" t="n">
        <f aca="false">1_Assumptions!$F$79+1_Assumptions!$F$80+1_Assumptions!$F$81</f>
        <v>0.85</v>
      </c>
      <c r="W8" s="71" t="n">
        <f aca="false">1_Assumptions!$F$79+1_Assumptions!$F$80+1_Assumptions!$F$81</f>
        <v>0.85</v>
      </c>
      <c r="X8" s="71" t="n">
        <f aca="false">1_Assumptions!$F$79+1_Assumptions!$F$80+1_Assumptions!$F$81</f>
        <v>0.85</v>
      </c>
      <c r="Y8" s="71" t="n">
        <f aca="false">1_Assumptions!$F$79+1_Assumptions!$F$80+1_Assumptions!$F$81</f>
        <v>0.85</v>
      </c>
      <c r="Z8" s="71" t="n">
        <f aca="false">1_Assumptions!$F$79+1_Assumptions!$F$80+1_Assumptions!$F$81</f>
        <v>0.85</v>
      </c>
      <c r="AA8" s="71" t="n">
        <f aca="false">1_Assumptions!$F$79+1_Assumptions!$F$80+1_Assumptions!$F$81</f>
        <v>0.85</v>
      </c>
      <c r="AB8" s="71" t="n">
        <f aca="false">1_Assumptions!$F$79+1_Assumptions!$F$80+1_Assumptions!$F$81</f>
        <v>0.85</v>
      </c>
      <c r="AC8" s="71" t="n">
        <f aca="false">1_Assumptions!$F$79+1_Assumptions!$F$80+1_Assumptions!$F$81</f>
        <v>0.85</v>
      </c>
    </row>
    <row r="9" customFormat="false" ht="15" hidden="false" customHeight="true" outlineLevel="0" collapsed="false">
      <c r="A9" s="16"/>
      <c r="B9" s="17" t="s">
        <v>282</v>
      </c>
      <c r="C9" s="18" t="s">
        <v>277</v>
      </c>
      <c r="D9" s="26" t="n">
        <v>0</v>
      </c>
      <c r="E9" s="17" t="n">
        <f aca="false">5_Headcount!E63</f>
        <v>0</v>
      </c>
      <c r="F9" s="17" t="n">
        <f aca="false">5_Headcount!F63</f>
        <v>0</v>
      </c>
      <c r="G9" s="17" t="n">
        <f aca="false">5_Headcount!G63</f>
        <v>0</v>
      </c>
      <c r="H9" s="17" t="n">
        <f aca="false">5_Headcount!H63</f>
        <v>1</v>
      </c>
      <c r="I9" s="17" t="n">
        <f aca="false">5_Headcount!I63</f>
        <v>1</v>
      </c>
      <c r="J9" s="17" t="n">
        <f aca="false">5_Headcount!J63</f>
        <v>1</v>
      </c>
      <c r="K9" s="17" t="n">
        <f aca="false">5_Headcount!K63</f>
        <v>1</v>
      </c>
      <c r="L9" s="17" t="n">
        <f aca="false">5_Headcount!L63</f>
        <v>1</v>
      </c>
      <c r="M9" s="17" t="n">
        <f aca="false">5_Headcount!M63</f>
        <v>1</v>
      </c>
      <c r="N9" s="17" t="n">
        <f aca="false">5_Headcount!N63</f>
        <v>2</v>
      </c>
      <c r="O9" s="17" t="n">
        <f aca="false">5_Headcount!O63</f>
        <v>2</v>
      </c>
      <c r="P9" s="17" t="n">
        <f aca="false">5_Headcount!P63</f>
        <v>3</v>
      </c>
      <c r="Q9" s="17" t="n">
        <f aca="false">5_Headcount!Q63</f>
        <v>4</v>
      </c>
      <c r="R9" s="17" t="n">
        <f aca="false">5_Headcount!R63</f>
        <v>4</v>
      </c>
      <c r="S9" s="17" t="n">
        <f aca="false">5_Headcount!S63</f>
        <v>5</v>
      </c>
      <c r="T9" s="17" t="n">
        <f aca="false">5_Headcount!T63</f>
        <v>6</v>
      </c>
      <c r="U9" s="17" t="n">
        <f aca="false">5_Headcount!U63</f>
        <v>7</v>
      </c>
      <c r="V9" s="17" t="n">
        <f aca="false">5_Headcount!V63</f>
        <v>7</v>
      </c>
      <c r="W9" s="17" t="n">
        <f aca="false">5_Headcount!W63</f>
        <v>7</v>
      </c>
      <c r="X9" s="17" t="n">
        <f aca="false">5_Headcount!X63</f>
        <v>7</v>
      </c>
      <c r="Y9" s="17" t="n">
        <f aca="false">5_Headcount!Y63</f>
        <v>7</v>
      </c>
      <c r="Z9" s="17" t="n">
        <f aca="false">5_Headcount!Z63</f>
        <v>7</v>
      </c>
      <c r="AA9" s="17" t="n">
        <f aca="false">5_Headcount!AA63</f>
        <v>7</v>
      </c>
      <c r="AB9" s="17" t="n">
        <f aca="false">5_Headcount!AB63</f>
        <v>7</v>
      </c>
      <c r="AC9" s="17" t="n">
        <f aca="false">5_Headcount!AC63</f>
        <v>7</v>
      </c>
    </row>
    <row r="10" customFormat="false" ht="15" hidden="false" customHeight="true" outlineLevel="0" collapsed="false">
      <c r="A10" s="21"/>
      <c r="B10" s="22" t="s">
        <v>283</v>
      </c>
      <c r="C10" s="23" t="s">
        <v>281</v>
      </c>
      <c r="D10" s="21"/>
      <c r="E10" s="71" t="n">
        <f aca="false">E8+E9</f>
        <v>0.85</v>
      </c>
      <c r="F10" s="71" t="n">
        <f aca="false">F8+F9</f>
        <v>0.85</v>
      </c>
      <c r="G10" s="71" t="n">
        <f aca="false">G8+G9</f>
        <v>0.85</v>
      </c>
      <c r="H10" s="71" t="n">
        <f aca="false">H8+H9</f>
        <v>1.85</v>
      </c>
      <c r="I10" s="71" t="n">
        <f aca="false">I8+I9</f>
        <v>1.85</v>
      </c>
      <c r="J10" s="71" t="n">
        <f aca="false">J8+J9</f>
        <v>1.85</v>
      </c>
      <c r="K10" s="71" t="n">
        <f aca="false">K8+K9</f>
        <v>1.85</v>
      </c>
      <c r="L10" s="71" t="n">
        <f aca="false">L8+L9</f>
        <v>1.85</v>
      </c>
      <c r="M10" s="71" t="n">
        <f aca="false">M8+M9</f>
        <v>1.85</v>
      </c>
      <c r="N10" s="71" t="n">
        <f aca="false">N8+N9</f>
        <v>2.85</v>
      </c>
      <c r="O10" s="71" t="n">
        <f aca="false">O8+O9</f>
        <v>2.85</v>
      </c>
      <c r="P10" s="71" t="n">
        <f aca="false">P8+P9</f>
        <v>3.85</v>
      </c>
      <c r="Q10" s="71" t="n">
        <f aca="false">Q8+Q9</f>
        <v>4.85</v>
      </c>
      <c r="R10" s="71" t="n">
        <f aca="false">R8+R9</f>
        <v>4.85</v>
      </c>
      <c r="S10" s="71" t="n">
        <f aca="false">S8+S9</f>
        <v>5.85</v>
      </c>
      <c r="T10" s="71" t="n">
        <f aca="false">T8+T9</f>
        <v>6.85</v>
      </c>
      <c r="U10" s="71" t="n">
        <f aca="false">U8+U9</f>
        <v>7.85</v>
      </c>
      <c r="V10" s="71" t="n">
        <f aca="false">V8+V9</f>
        <v>7.85</v>
      </c>
      <c r="W10" s="71" t="n">
        <f aca="false">W8+W9</f>
        <v>7.85</v>
      </c>
      <c r="X10" s="71" t="n">
        <f aca="false">X8+X9</f>
        <v>7.85</v>
      </c>
      <c r="Y10" s="71" t="n">
        <f aca="false">Y8+Y9</f>
        <v>7.85</v>
      </c>
      <c r="Z10" s="71" t="n">
        <f aca="false">Z8+Z9</f>
        <v>7.85</v>
      </c>
      <c r="AA10" s="71" t="n">
        <f aca="false">AA8+AA9</f>
        <v>7.85</v>
      </c>
      <c r="AB10" s="71" t="n">
        <f aca="false">AB8+AB9</f>
        <v>7.85</v>
      </c>
      <c r="AC10" s="71" t="n">
        <f aca="false">AC8+AC9</f>
        <v>7.85</v>
      </c>
    </row>
    <row r="11" customFormat="false" ht="15" hidden="false" customHeight="true" outlineLevel="0" collapsed="false">
      <c r="A11" s="16"/>
      <c r="B11" s="17" t="s">
        <v>284</v>
      </c>
      <c r="C11" s="18" t="s">
        <v>285</v>
      </c>
      <c r="D11" s="16"/>
      <c r="E11" s="17" t="n">
        <f aca="false">((E8+E9)*(1-1_Assumptions!$F$83))*1_Assumptions!$F$82</f>
        <v>1.36</v>
      </c>
      <c r="F11" s="17" t="n">
        <f aca="false">((F8+F9)*(1-1_Assumptions!$F$83))*1_Assumptions!$F$82</f>
        <v>1.36</v>
      </c>
      <c r="G11" s="17" t="n">
        <f aca="false">((G8+G9)*(1-1_Assumptions!$F$83))*1_Assumptions!$F$82</f>
        <v>1.36</v>
      </c>
      <c r="H11" s="17" t="n">
        <f aca="false">((H8+H9)*(1-1_Assumptions!$F$83))*1_Assumptions!$F$82</f>
        <v>2.96</v>
      </c>
      <c r="I11" s="17" t="n">
        <f aca="false">((I8+I9)*(1-1_Assumptions!$F$83))*1_Assumptions!$F$82</f>
        <v>2.96</v>
      </c>
      <c r="J11" s="17" t="n">
        <f aca="false">((J8+J9)*(1-1_Assumptions!$F$83))*1_Assumptions!$F$82</f>
        <v>2.96</v>
      </c>
      <c r="K11" s="17" t="n">
        <f aca="false">((K8+K9)*(1-1_Assumptions!$F$83))*1_Assumptions!$F$82</f>
        <v>2.96</v>
      </c>
      <c r="L11" s="17" t="n">
        <f aca="false">((L8+L9)*(1-1_Assumptions!$F$83))*1_Assumptions!$F$82</f>
        <v>2.96</v>
      </c>
      <c r="M11" s="17" t="n">
        <f aca="false">((M8+M9)*(1-1_Assumptions!$F$83))*1_Assumptions!$F$82</f>
        <v>2.96</v>
      </c>
      <c r="N11" s="17" t="n">
        <f aca="false">N10*(1-1_Assumptions!$F$83)*1_Assumptions!$F$82*3</f>
        <v>13.68</v>
      </c>
      <c r="O11" s="17" t="n">
        <f aca="false">O10*(1-1_Assumptions!$F$83)*1_Assumptions!$F$82*3</f>
        <v>13.68</v>
      </c>
      <c r="P11" s="17" t="n">
        <f aca="false">P10*(1-1_Assumptions!$F$83)*1_Assumptions!$F$82*3</f>
        <v>18.48</v>
      </c>
      <c r="Q11" s="17" t="n">
        <f aca="false">Q10*(1-1_Assumptions!$F$83)*1_Assumptions!$F$82*3</f>
        <v>23.28</v>
      </c>
      <c r="R11" s="17" t="n">
        <f aca="false">R10*(1-1_Assumptions!$F$83)*1_Assumptions!$F$82*3</f>
        <v>23.28</v>
      </c>
      <c r="S11" s="17" t="n">
        <f aca="false">S10*(1-1_Assumptions!$F$83)*1_Assumptions!$F$82*3</f>
        <v>28.08</v>
      </c>
      <c r="T11" s="17" t="n">
        <f aca="false">T10*(1-1_Assumptions!$F$83)*1_Assumptions!$F$82*3</f>
        <v>32.88</v>
      </c>
      <c r="U11" s="17" t="n">
        <f aca="false">U10*(1-1_Assumptions!$F$83)*1_Assumptions!$F$82*3</f>
        <v>37.68</v>
      </c>
      <c r="V11" s="17" t="n">
        <f aca="false">V10*(1-1_Assumptions!$F$83)*1_Assumptions!$F$82*3</f>
        <v>37.68</v>
      </c>
      <c r="W11" s="17" t="n">
        <f aca="false">W10*(1-1_Assumptions!$F$83)*1_Assumptions!$F$82*3</f>
        <v>37.68</v>
      </c>
      <c r="X11" s="17" t="n">
        <f aca="false">X10*(1-1_Assumptions!$F$83)*1_Assumptions!$F$82*3</f>
        <v>37.68</v>
      </c>
      <c r="Y11" s="17" t="n">
        <f aca="false">Y10*(1-1_Assumptions!$F$83)*1_Assumptions!$F$82*3</f>
        <v>37.68</v>
      </c>
      <c r="Z11" s="17" t="n">
        <f aca="false">Z10*(1-1_Assumptions!$F$83)*1_Assumptions!$F$82*3</f>
        <v>37.68</v>
      </c>
      <c r="AA11" s="17" t="n">
        <f aca="false">AA10*(1-1_Assumptions!$F$83)*1_Assumptions!$F$82*3</f>
        <v>37.68</v>
      </c>
      <c r="AB11" s="17" t="n">
        <f aca="false">AB10*(1-1_Assumptions!$F$83)*1_Assumptions!$F$82*3</f>
        <v>37.68</v>
      </c>
      <c r="AC11" s="17" t="n">
        <f aca="false">AC10*(1-1_Assumptions!$F$83)*1_Assumptions!$F$82*3</f>
        <v>37.68</v>
      </c>
    </row>
    <row r="12" customFormat="false" ht="15" hidden="false" customHeight="true" outlineLevel="0" collapsed="false">
      <c r="A12" s="16"/>
      <c r="B12" s="17" t="s">
        <v>286</v>
      </c>
      <c r="C12" s="18" t="s">
        <v>287</v>
      </c>
      <c r="D12" s="26" t="n">
        <v>0</v>
      </c>
      <c r="E12" s="17" t="n">
        <f aca="false">E$11*1_Assumptions!$F$86</f>
        <v>0.765</v>
      </c>
      <c r="F12" s="17" t="n">
        <f aca="false">F$11*1_Assumptions!$F$86</f>
        <v>0.765</v>
      </c>
      <c r="G12" s="17" t="n">
        <f aca="false">G$11*1_Assumptions!$F$86</f>
        <v>0.765</v>
      </c>
      <c r="H12" s="17" t="n">
        <f aca="false">H$11*1_Assumptions!$F$86</f>
        <v>1.665</v>
      </c>
      <c r="I12" s="17" t="n">
        <f aca="false">I$11*1_Assumptions!$F$86</f>
        <v>1.665</v>
      </c>
      <c r="J12" s="17" t="n">
        <f aca="false">J$11*1_Assumptions!$F$86</f>
        <v>1.665</v>
      </c>
      <c r="K12" s="17" t="n">
        <f aca="false">K$11*1_Assumptions!$F$86</f>
        <v>1.665</v>
      </c>
      <c r="L12" s="17" t="n">
        <f aca="false">L$11*1_Assumptions!$F$86</f>
        <v>1.665</v>
      </c>
      <c r="M12" s="17" t="n">
        <f aca="false">M$11*1_Assumptions!$F$86</f>
        <v>1.665</v>
      </c>
      <c r="N12" s="17" t="n">
        <f aca="false">N$11*1_Assumptions!$F$86</f>
        <v>7.695</v>
      </c>
      <c r="O12" s="17" t="n">
        <f aca="false">O$11*1_Assumptions!$F$86</f>
        <v>7.695</v>
      </c>
      <c r="P12" s="17" t="n">
        <f aca="false">P$11*1_Assumptions!$F$86</f>
        <v>10.395</v>
      </c>
      <c r="Q12" s="17" t="n">
        <f aca="false">Q$11*1_Assumptions!$F$86</f>
        <v>13.095</v>
      </c>
      <c r="R12" s="17" t="n">
        <f aca="false">R$11*1_Assumptions!$F$86</f>
        <v>13.095</v>
      </c>
      <c r="S12" s="17" t="n">
        <f aca="false">S$11*1_Assumptions!$F$86</f>
        <v>15.795</v>
      </c>
      <c r="T12" s="17" t="n">
        <f aca="false">T$11*1_Assumptions!$F$86</f>
        <v>18.495</v>
      </c>
      <c r="U12" s="17" t="n">
        <f aca="false">U$11*1_Assumptions!$F$86</f>
        <v>21.195</v>
      </c>
      <c r="V12" s="17" t="n">
        <f aca="false">V$11*1_Assumptions!$F$86</f>
        <v>21.195</v>
      </c>
      <c r="W12" s="17" t="n">
        <f aca="false">W$11*1_Assumptions!$F$86</f>
        <v>21.195</v>
      </c>
      <c r="X12" s="17" t="n">
        <f aca="false">X$11*1_Assumptions!$F$86</f>
        <v>21.195</v>
      </c>
      <c r="Y12" s="17" t="n">
        <f aca="false">Y$11*1_Assumptions!$F$86</f>
        <v>21.195</v>
      </c>
      <c r="Z12" s="17" t="n">
        <f aca="false">Z$11*1_Assumptions!$F$86</f>
        <v>21.195</v>
      </c>
      <c r="AA12" s="17" t="n">
        <f aca="false">AA$11*1_Assumptions!$F$86</f>
        <v>21.195</v>
      </c>
      <c r="AB12" s="17" t="n">
        <f aca="false">AB$11*1_Assumptions!$F$86</f>
        <v>21.195</v>
      </c>
      <c r="AC12" s="17" t="n">
        <f aca="false">AC$11*1_Assumptions!$F$86</f>
        <v>21.195</v>
      </c>
    </row>
    <row r="13" customFormat="false" ht="15" hidden="false" customHeight="true" outlineLevel="0" collapsed="false">
      <c r="A13" s="73"/>
      <c r="B13" s="74" t="s">
        <v>288</v>
      </c>
      <c r="C13" s="75" t="s">
        <v>287</v>
      </c>
      <c r="D13" s="76" t="n">
        <v>0</v>
      </c>
      <c r="E13" s="74" t="n">
        <f aca="false">E$11*1_Assumptions!$F$87</f>
        <v>0.425</v>
      </c>
      <c r="F13" s="74" t="n">
        <f aca="false">F$11*1_Assumptions!$F$87</f>
        <v>0.425</v>
      </c>
      <c r="G13" s="74" t="n">
        <f aca="false">G$11*1_Assumptions!$F$87</f>
        <v>0.425</v>
      </c>
      <c r="H13" s="74" t="n">
        <f aca="false">H$11*1_Assumptions!$F$87</f>
        <v>0.925</v>
      </c>
      <c r="I13" s="74" t="n">
        <f aca="false">I$11*1_Assumptions!$F$87</f>
        <v>0.925</v>
      </c>
      <c r="J13" s="74" t="n">
        <f aca="false">J$11*1_Assumptions!$F$87</f>
        <v>0.925</v>
      </c>
      <c r="K13" s="74" t="n">
        <f aca="false">K$11*1_Assumptions!$F$87</f>
        <v>0.925</v>
      </c>
      <c r="L13" s="74" t="n">
        <f aca="false">L$11*1_Assumptions!$F$87</f>
        <v>0.925</v>
      </c>
      <c r="M13" s="74" t="n">
        <f aca="false">M$11*1_Assumptions!$F$87</f>
        <v>0.925</v>
      </c>
      <c r="N13" s="74" t="n">
        <f aca="false">N$11*1_Assumptions!$F$87</f>
        <v>4.275</v>
      </c>
      <c r="O13" s="74" t="n">
        <f aca="false">O$11*1_Assumptions!$F$87</f>
        <v>4.275</v>
      </c>
      <c r="P13" s="74" t="n">
        <f aca="false">P$11*1_Assumptions!$F$87</f>
        <v>5.775</v>
      </c>
      <c r="Q13" s="74" t="n">
        <f aca="false">Q$11*1_Assumptions!$F$87</f>
        <v>7.275</v>
      </c>
      <c r="R13" s="74" t="n">
        <f aca="false">R$11*1_Assumptions!$F$87</f>
        <v>7.275</v>
      </c>
      <c r="S13" s="74" t="n">
        <f aca="false">S$11*1_Assumptions!$F$87</f>
        <v>8.775</v>
      </c>
      <c r="T13" s="74" t="n">
        <f aca="false">T$11*1_Assumptions!$F$87</f>
        <v>10.275</v>
      </c>
      <c r="U13" s="74" t="n">
        <f aca="false">U$11*1_Assumptions!$F$87</f>
        <v>11.775</v>
      </c>
      <c r="V13" s="74" t="n">
        <f aca="false">V$11*1_Assumptions!$F$87</f>
        <v>11.775</v>
      </c>
      <c r="W13" s="74" t="n">
        <f aca="false">W$11*1_Assumptions!$F$87</f>
        <v>11.775</v>
      </c>
      <c r="X13" s="74" t="n">
        <f aca="false">X$11*1_Assumptions!$F$87</f>
        <v>11.775</v>
      </c>
      <c r="Y13" s="74" t="n">
        <f aca="false">Y$11*1_Assumptions!$F$87</f>
        <v>11.775</v>
      </c>
      <c r="Z13" s="74" t="n">
        <f aca="false">Z$11*1_Assumptions!$F$87</f>
        <v>11.775</v>
      </c>
      <c r="AA13" s="74" t="n">
        <f aca="false">AA$11*1_Assumptions!$F$87</f>
        <v>11.775</v>
      </c>
      <c r="AB13" s="74" t="n">
        <f aca="false">AB$11*1_Assumptions!$F$87</f>
        <v>11.775</v>
      </c>
      <c r="AC13" s="74" t="n">
        <f aca="false">AC$11*1_Assumptions!$F$87</f>
        <v>11.775</v>
      </c>
    </row>
    <row r="14" customFormat="false" ht="15" hidden="false" customHeight="true" outlineLevel="0" collapsed="false">
      <c r="A14" s="77"/>
      <c r="B14" s="78" t="s">
        <v>289</v>
      </c>
      <c r="C14" s="79" t="s">
        <v>287</v>
      </c>
      <c r="D14" s="80" t="n">
        <v>0</v>
      </c>
      <c r="E14" s="78" t="n">
        <f aca="false">E$11*1_Assumptions!$F$88</f>
        <v>0.17</v>
      </c>
      <c r="F14" s="78" t="n">
        <f aca="false">F$11*1_Assumptions!$F$88</f>
        <v>0.17</v>
      </c>
      <c r="G14" s="78" t="n">
        <f aca="false">G$11*1_Assumptions!$F$88</f>
        <v>0.17</v>
      </c>
      <c r="H14" s="78" t="n">
        <f aca="false">H$11*1_Assumptions!$F$88</f>
        <v>0.37</v>
      </c>
      <c r="I14" s="78" t="n">
        <f aca="false">I$11*1_Assumptions!$F$88</f>
        <v>0.37</v>
      </c>
      <c r="J14" s="78" t="n">
        <f aca="false">J$11*1_Assumptions!$F$88</f>
        <v>0.37</v>
      </c>
      <c r="K14" s="78" t="n">
        <f aca="false">K$11*1_Assumptions!$F$88</f>
        <v>0.37</v>
      </c>
      <c r="L14" s="78" t="n">
        <f aca="false">L$11*1_Assumptions!$F$88</f>
        <v>0.37</v>
      </c>
      <c r="M14" s="78" t="n">
        <f aca="false">M$11*1_Assumptions!$F$88</f>
        <v>0.37</v>
      </c>
      <c r="N14" s="78" t="n">
        <f aca="false">N$11*1_Assumptions!$F$88</f>
        <v>1.71</v>
      </c>
      <c r="O14" s="78" t="n">
        <f aca="false">O$11*1_Assumptions!$F$88</f>
        <v>1.71</v>
      </c>
      <c r="P14" s="78" t="n">
        <f aca="false">P$11*1_Assumptions!$F$88</f>
        <v>2.31</v>
      </c>
      <c r="Q14" s="78" t="n">
        <f aca="false">Q$11*1_Assumptions!$F$88</f>
        <v>2.91</v>
      </c>
      <c r="R14" s="78" t="n">
        <f aca="false">R$11*1_Assumptions!$F$88</f>
        <v>2.91</v>
      </c>
      <c r="S14" s="78" t="n">
        <f aca="false">S$11*1_Assumptions!$F$88</f>
        <v>3.51</v>
      </c>
      <c r="T14" s="78" t="n">
        <f aca="false">T$11*1_Assumptions!$F$88</f>
        <v>4.11</v>
      </c>
      <c r="U14" s="78" t="n">
        <f aca="false">U$11*1_Assumptions!$F$88</f>
        <v>4.71</v>
      </c>
      <c r="V14" s="78" t="n">
        <f aca="false">V$11*1_Assumptions!$F$88</f>
        <v>4.71</v>
      </c>
      <c r="W14" s="78" t="n">
        <f aca="false">W$11*1_Assumptions!$F$88</f>
        <v>4.71</v>
      </c>
      <c r="X14" s="78" t="n">
        <f aca="false">X$11*1_Assumptions!$F$88</f>
        <v>4.71</v>
      </c>
      <c r="Y14" s="78" t="n">
        <f aca="false">Y$11*1_Assumptions!$F$88</f>
        <v>4.71</v>
      </c>
      <c r="Z14" s="78" t="n">
        <f aca="false">Z$11*1_Assumptions!$F$88</f>
        <v>4.71</v>
      </c>
      <c r="AA14" s="78" t="n">
        <f aca="false">AA$11*1_Assumptions!$F$88</f>
        <v>4.71</v>
      </c>
      <c r="AB14" s="78" t="n">
        <f aca="false">AB$11*1_Assumptions!$F$88</f>
        <v>4.71</v>
      </c>
      <c r="AC14" s="78" t="n">
        <f aca="false">AC$11*1_Assumptions!$F$88</f>
        <v>4.71</v>
      </c>
    </row>
    <row r="15" customFormat="false" ht="15" hidden="false" customHeight="true" outlineLevel="0" collapsed="false">
      <c r="A15" s="21"/>
      <c r="B15" s="22" t="s">
        <v>290</v>
      </c>
      <c r="C15" s="23" t="s">
        <v>287</v>
      </c>
      <c r="D15" s="24" t="n">
        <v>0</v>
      </c>
      <c r="E15" s="22" t="n">
        <f aca="false">ROUNDDOWN(E12,0)</f>
        <v>0</v>
      </c>
      <c r="F15" s="22" t="n">
        <f aca="false">ROUNDDOWN(SUM($E12:F12),0)</f>
        <v>1</v>
      </c>
      <c r="G15" s="22" t="n">
        <f aca="false">ROUNDDOWN(SUM($E12:G12),0)</f>
        <v>2</v>
      </c>
      <c r="H15" s="22" t="n">
        <f aca="false">ROUNDDOWN(SUM($E12:H12),0)</f>
        <v>3</v>
      </c>
      <c r="I15" s="22" t="n">
        <f aca="false">ROUNDDOWN(SUM($E12:I12),0)</f>
        <v>5</v>
      </c>
      <c r="J15" s="22" t="n">
        <f aca="false">ROUNDDOWN(SUM($E12:J12),0)</f>
        <v>7</v>
      </c>
      <c r="K15" s="22" t="n">
        <f aca="false">ROUNDDOWN(SUM($E12:K12),0)</f>
        <v>8</v>
      </c>
      <c r="L15" s="22" t="n">
        <f aca="false">ROUNDDOWN(SUM($E12:L12),0)</f>
        <v>10</v>
      </c>
      <c r="M15" s="22" t="n">
        <f aca="false">ROUNDDOWN(SUM($E12:M12),0)</f>
        <v>12</v>
      </c>
      <c r="N15" s="22" t="n">
        <f aca="false">ROUNDDOWN(SUM($E12:N12),0)</f>
        <v>19</v>
      </c>
      <c r="O15" s="22" t="n">
        <f aca="false">ROUNDDOWN(SUM($E12:O12),0)</f>
        <v>27</v>
      </c>
      <c r="P15" s="22" t="n">
        <f aca="false">ROUNDDOWN(SUM($E12:P12),0)</f>
        <v>38</v>
      </c>
      <c r="Q15" s="22" t="n">
        <f aca="false">ROUNDDOWN(SUM($E12:Q12),0)</f>
        <v>51</v>
      </c>
      <c r="R15" s="22" t="n">
        <f aca="false">ROUNDDOWN(SUM($E12:R12),0)</f>
        <v>64</v>
      </c>
      <c r="S15" s="22" t="n">
        <f aca="false">ROUNDDOWN(SUM($E12:S12),0)</f>
        <v>80</v>
      </c>
      <c r="T15" s="22" t="n">
        <f aca="false">ROUNDDOWN(SUM($E12:T12),0)</f>
        <v>98</v>
      </c>
      <c r="U15" s="22" t="n">
        <f aca="false">ROUNDDOWN(SUM($E12:U12),0)</f>
        <v>119</v>
      </c>
      <c r="V15" s="22" t="n">
        <f aca="false">ROUNDDOWN(SUM($E12:V12),0)</f>
        <v>140</v>
      </c>
      <c r="W15" s="22" t="n">
        <f aca="false">ROUNDDOWN(SUM($E12:W12),0)</f>
        <v>162</v>
      </c>
      <c r="X15" s="22" t="n">
        <f aca="false">ROUNDDOWN(SUM($E12:X12),0)</f>
        <v>183</v>
      </c>
      <c r="Y15" s="22" t="n">
        <f aca="false">ROUNDDOWN(SUM($E12:Y12),0)</f>
        <v>204</v>
      </c>
      <c r="Z15" s="22" t="n">
        <f aca="false">ROUNDDOWN(SUM($E12:Z12),0)</f>
        <v>225</v>
      </c>
      <c r="AA15" s="22" t="n">
        <f aca="false">ROUNDDOWN(SUM($E12:AA12),0)</f>
        <v>246</v>
      </c>
      <c r="AB15" s="22" t="n">
        <f aca="false">ROUNDDOWN(SUM($E12:AB12),0)</f>
        <v>268</v>
      </c>
      <c r="AC15" s="22" t="n">
        <f aca="false">ROUNDDOWN(SUM($E12:AC12),0)</f>
        <v>289</v>
      </c>
    </row>
    <row r="16" customFormat="false" ht="15" hidden="false" customHeight="true" outlineLevel="0" collapsed="false">
      <c r="A16" s="16"/>
      <c r="B16" s="17" t="s">
        <v>291</v>
      </c>
      <c r="C16" s="18" t="s">
        <v>287</v>
      </c>
      <c r="D16" s="26" t="n">
        <v>0</v>
      </c>
      <c r="E16" s="17" t="n">
        <f aca="false">ROUNDDOWN(E13,0)</f>
        <v>0</v>
      </c>
      <c r="F16" s="17" t="n">
        <f aca="false">ROUNDDOWN(SUM($E13:F13),0)</f>
        <v>0</v>
      </c>
      <c r="G16" s="17" t="n">
        <f aca="false">ROUNDDOWN(SUM($E13:G13),0)</f>
        <v>1</v>
      </c>
      <c r="H16" s="17" t="n">
        <f aca="false">ROUNDDOWN(SUM($E13:H13),0)</f>
        <v>2</v>
      </c>
      <c r="I16" s="17" t="n">
        <f aca="false">ROUNDDOWN(SUM($E13:I13),0)</f>
        <v>3</v>
      </c>
      <c r="J16" s="17" t="n">
        <f aca="false">ROUNDDOWN(SUM($E13:J13),0)</f>
        <v>4</v>
      </c>
      <c r="K16" s="17" t="n">
        <f aca="false">ROUNDDOWN(SUM($E13:K13),0)</f>
        <v>4</v>
      </c>
      <c r="L16" s="17" t="n">
        <f aca="false">ROUNDDOWN(SUM($E13:L13),0)</f>
        <v>5</v>
      </c>
      <c r="M16" s="17" t="n">
        <f aca="false">ROUNDDOWN(SUM($E13:M13),0)</f>
        <v>6</v>
      </c>
      <c r="N16" s="17" t="n">
        <f aca="false">ROUNDDOWN(SUM($E13:N13),0)</f>
        <v>11</v>
      </c>
      <c r="O16" s="17" t="n">
        <f aca="false">ROUNDDOWN(SUM($E13:O13),0)</f>
        <v>15</v>
      </c>
      <c r="P16" s="17" t="n">
        <f aca="false">ROUNDDOWN(SUM($E13:P13),0)</f>
        <v>21</v>
      </c>
      <c r="Q16" s="17" t="n">
        <f aca="false">ROUNDDOWN(SUM($E13:Q13),0)</f>
        <v>28</v>
      </c>
      <c r="R16" s="17" t="n">
        <f aca="false">ROUNDDOWN(SUM($E13:R13),0)</f>
        <v>35</v>
      </c>
      <c r="S16" s="17" t="n">
        <f aca="false">ROUNDDOWN(SUM($E13:S13),0)</f>
        <v>44</v>
      </c>
      <c r="T16" s="17" t="n">
        <f aca="false">ROUNDDOWN(SUM($E13:T13),0)</f>
        <v>54</v>
      </c>
      <c r="U16" s="17" t="n">
        <f aca="false">ROUNDDOWN(SUM($E13:U13),0)</f>
        <v>66</v>
      </c>
      <c r="V16" s="17" t="n">
        <f aca="false">ROUNDDOWN(SUM($E13:V13),0)</f>
        <v>78</v>
      </c>
      <c r="W16" s="17" t="n">
        <f aca="false">ROUNDDOWN(SUM($E13:W13),0)</f>
        <v>90</v>
      </c>
      <c r="X16" s="17" t="n">
        <f aca="false">ROUNDDOWN(SUM($E13:X13),0)</f>
        <v>101</v>
      </c>
      <c r="Y16" s="17" t="n">
        <f aca="false">ROUNDDOWN(SUM($E13:Y13),0)</f>
        <v>113</v>
      </c>
      <c r="Z16" s="17" t="n">
        <f aca="false">ROUNDDOWN(SUM($E13:Z13),0)</f>
        <v>125</v>
      </c>
      <c r="AA16" s="17" t="n">
        <f aca="false">ROUNDDOWN(SUM($E13:AA13),0)</f>
        <v>137</v>
      </c>
      <c r="AB16" s="17" t="n">
        <f aca="false">ROUNDDOWN(SUM($E13:AB13),0)</f>
        <v>148</v>
      </c>
      <c r="AC16" s="17" t="n">
        <f aca="false">ROUNDDOWN(SUM($E13:AC13),0)</f>
        <v>160</v>
      </c>
    </row>
    <row r="17" customFormat="false" ht="15" hidden="false" customHeight="true" outlineLevel="0" collapsed="false">
      <c r="A17" s="21"/>
      <c r="B17" s="22" t="s">
        <v>292</v>
      </c>
      <c r="C17" s="23" t="s">
        <v>287</v>
      </c>
      <c r="D17" s="24" t="n">
        <v>0</v>
      </c>
      <c r="E17" s="22" t="n">
        <f aca="false">ROUNDDOWN(E14,0)</f>
        <v>0</v>
      </c>
      <c r="F17" s="22" t="n">
        <f aca="false">ROUNDDOWN(SUM($E14:F14),0)</f>
        <v>0</v>
      </c>
      <c r="G17" s="22" t="n">
        <f aca="false">ROUNDDOWN(SUM($E14:G14),0)</f>
        <v>0</v>
      </c>
      <c r="H17" s="22" t="n">
        <f aca="false">ROUNDDOWN(SUM($E14:H14),0)</f>
        <v>0</v>
      </c>
      <c r="I17" s="22" t="n">
        <f aca="false">ROUNDDOWN(SUM($E14:I14),0)</f>
        <v>1</v>
      </c>
      <c r="J17" s="22" t="n">
        <f aca="false">ROUNDDOWN(SUM($E14:J14),0)</f>
        <v>1</v>
      </c>
      <c r="K17" s="22" t="n">
        <f aca="false">ROUNDDOWN(SUM($E14:K14),0)</f>
        <v>1</v>
      </c>
      <c r="L17" s="22" t="n">
        <f aca="false">ROUNDDOWN(SUM($E14:L14),0)</f>
        <v>2</v>
      </c>
      <c r="M17" s="22" t="n">
        <f aca="false">ROUNDDOWN(SUM($E14:M14),0)</f>
        <v>2</v>
      </c>
      <c r="N17" s="22" t="n">
        <f aca="false">ROUNDDOWN(SUM($E14:N14),0)</f>
        <v>4</v>
      </c>
      <c r="O17" s="22" t="n">
        <f aca="false">ROUNDDOWN(SUM($E14:O14),0)</f>
        <v>6</v>
      </c>
      <c r="P17" s="22" t="n">
        <f aca="false">ROUNDDOWN(SUM($E14:P14),0)</f>
        <v>8</v>
      </c>
      <c r="Q17" s="22" t="n">
        <f aca="false">ROUNDDOWN(SUM($E14:Q14),0)</f>
        <v>11</v>
      </c>
      <c r="R17" s="22" t="n">
        <f aca="false">ROUNDDOWN(SUM($E14:R14),0)</f>
        <v>14</v>
      </c>
      <c r="S17" s="22" t="n">
        <f aca="false">ROUNDDOWN(SUM($E14:S14),0)</f>
        <v>17</v>
      </c>
      <c r="T17" s="22" t="n">
        <f aca="false">ROUNDDOWN(SUM($E14:T14),0)</f>
        <v>21</v>
      </c>
      <c r="U17" s="22" t="n">
        <f aca="false">ROUNDDOWN(SUM($E14:U14),0)</f>
        <v>26</v>
      </c>
      <c r="V17" s="22" t="n">
        <f aca="false">ROUNDDOWN(SUM($E14:V14),0)</f>
        <v>31</v>
      </c>
      <c r="W17" s="22" t="n">
        <f aca="false">ROUNDDOWN(SUM($E14:W14),0)</f>
        <v>36</v>
      </c>
      <c r="X17" s="22" t="n">
        <f aca="false">ROUNDDOWN(SUM($E14:X14),0)</f>
        <v>40</v>
      </c>
      <c r="Y17" s="22" t="n">
        <f aca="false">ROUNDDOWN(SUM($E14:Y14),0)</f>
        <v>45</v>
      </c>
      <c r="Z17" s="22" t="n">
        <f aca="false">ROUNDDOWN(SUM($E14:Z14),0)</f>
        <v>50</v>
      </c>
      <c r="AA17" s="22" t="n">
        <f aca="false">ROUNDDOWN(SUM($E14:AA14),0)</f>
        <v>54</v>
      </c>
      <c r="AB17" s="22" t="n">
        <f aca="false">ROUNDDOWN(SUM($E14:AB14),0)</f>
        <v>59</v>
      </c>
      <c r="AC17" s="22" t="n">
        <f aca="false">ROUNDDOWN(SUM($E14:AC14),0)</f>
        <v>64</v>
      </c>
    </row>
    <row r="18" customFormat="false" ht="15" hidden="false" customHeight="true" outlineLevel="0" collapsed="false">
      <c r="A18" s="16"/>
      <c r="B18" s="17" t="s">
        <v>293</v>
      </c>
      <c r="C18" s="18" t="s">
        <v>287</v>
      </c>
      <c r="D18" s="26" t="n">
        <v>0</v>
      </c>
      <c r="E18" s="17" t="n">
        <f aca="false">E15</f>
        <v>0</v>
      </c>
      <c r="F18" s="17" t="n">
        <f aca="false">F15-E15</f>
        <v>1</v>
      </c>
      <c r="G18" s="17" t="n">
        <f aca="false">G15-F15</f>
        <v>1</v>
      </c>
      <c r="H18" s="17" t="n">
        <f aca="false">H15-G15</f>
        <v>1</v>
      </c>
      <c r="I18" s="17" t="n">
        <f aca="false">I15-H15</f>
        <v>2</v>
      </c>
      <c r="J18" s="17" t="n">
        <f aca="false">J15-I15</f>
        <v>2</v>
      </c>
      <c r="K18" s="17" t="n">
        <f aca="false">K15-J15</f>
        <v>1</v>
      </c>
      <c r="L18" s="17" t="n">
        <f aca="false">L15-K15</f>
        <v>2</v>
      </c>
      <c r="M18" s="17" t="n">
        <f aca="false">M15-L15</f>
        <v>2</v>
      </c>
      <c r="N18" s="17" t="n">
        <f aca="false">N15-M15</f>
        <v>7</v>
      </c>
      <c r="O18" s="17" t="n">
        <f aca="false">O15-N15</f>
        <v>8</v>
      </c>
      <c r="P18" s="17" t="n">
        <f aca="false">P15-O15</f>
        <v>11</v>
      </c>
      <c r="Q18" s="17" t="n">
        <f aca="false">Q15-P15</f>
        <v>13</v>
      </c>
      <c r="R18" s="17" t="n">
        <f aca="false">R15-Q15</f>
        <v>13</v>
      </c>
      <c r="S18" s="17" t="n">
        <f aca="false">S15-R15</f>
        <v>16</v>
      </c>
      <c r="T18" s="17" t="n">
        <f aca="false">T15-S15</f>
        <v>18</v>
      </c>
      <c r="U18" s="17" t="n">
        <f aca="false">U15-T15</f>
        <v>21</v>
      </c>
      <c r="V18" s="17" t="n">
        <f aca="false">V15-U15</f>
        <v>21</v>
      </c>
      <c r="W18" s="17" t="n">
        <f aca="false">W15-V15</f>
        <v>22</v>
      </c>
      <c r="X18" s="17" t="n">
        <f aca="false">X15-W15</f>
        <v>21</v>
      </c>
      <c r="Y18" s="17" t="n">
        <f aca="false">Y15-X15</f>
        <v>21</v>
      </c>
      <c r="Z18" s="17" t="n">
        <f aca="false">Z15-Y15</f>
        <v>21</v>
      </c>
      <c r="AA18" s="17" t="n">
        <f aca="false">AA15-Z15</f>
        <v>21</v>
      </c>
      <c r="AB18" s="17" t="n">
        <f aca="false">AB15-AA15</f>
        <v>22</v>
      </c>
      <c r="AC18" s="17" t="n">
        <f aca="false">AC15-AB15</f>
        <v>21</v>
      </c>
    </row>
    <row r="19" customFormat="false" ht="15" hidden="false" customHeight="true" outlineLevel="0" collapsed="false">
      <c r="A19" s="21"/>
      <c r="B19" s="22" t="s">
        <v>294</v>
      </c>
      <c r="C19" s="23" t="s">
        <v>287</v>
      </c>
      <c r="D19" s="24" t="n">
        <v>0</v>
      </c>
      <c r="E19" s="22" t="n">
        <f aca="false">E16</f>
        <v>0</v>
      </c>
      <c r="F19" s="22" t="n">
        <f aca="false">F16-E16</f>
        <v>0</v>
      </c>
      <c r="G19" s="22" t="n">
        <f aca="false">G16-F16</f>
        <v>1</v>
      </c>
      <c r="H19" s="22" t="n">
        <f aca="false">H16-G16</f>
        <v>1</v>
      </c>
      <c r="I19" s="22" t="n">
        <f aca="false">I16-H16</f>
        <v>1</v>
      </c>
      <c r="J19" s="22" t="n">
        <f aca="false">J16-I16</f>
        <v>1</v>
      </c>
      <c r="K19" s="22" t="n">
        <f aca="false">K16-J16</f>
        <v>0</v>
      </c>
      <c r="L19" s="22" t="n">
        <f aca="false">L16-K16</f>
        <v>1</v>
      </c>
      <c r="M19" s="22" t="n">
        <f aca="false">M16-L16</f>
        <v>1</v>
      </c>
      <c r="N19" s="22" t="n">
        <f aca="false">N16-M16</f>
        <v>5</v>
      </c>
      <c r="O19" s="22" t="n">
        <f aca="false">O16-N16</f>
        <v>4</v>
      </c>
      <c r="P19" s="22" t="n">
        <f aca="false">P16-O16</f>
        <v>6</v>
      </c>
      <c r="Q19" s="22" t="n">
        <f aca="false">Q16-P16</f>
        <v>7</v>
      </c>
      <c r="R19" s="22" t="n">
        <f aca="false">R16-Q16</f>
        <v>7</v>
      </c>
      <c r="S19" s="22" t="n">
        <f aca="false">S16-R16</f>
        <v>9</v>
      </c>
      <c r="T19" s="22" t="n">
        <f aca="false">T16-S16</f>
        <v>10</v>
      </c>
      <c r="U19" s="22" t="n">
        <f aca="false">U16-T16</f>
        <v>12</v>
      </c>
      <c r="V19" s="22" t="n">
        <f aca="false">V16-U16</f>
        <v>12</v>
      </c>
      <c r="W19" s="22" t="n">
        <f aca="false">W16-V16</f>
        <v>12</v>
      </c>
      <c r="X19" s="22" t="n">
        <f aca="false">X16-W16</f>
        <v>11</v>
      </c>
      <c r="Y19" s="22" t="n">
        <f aca="false">Y16-X16</f>
        <v>12</v>
      </c>
      <c r="Z19" s="22" t="n">
        <f aca="false">Z16-Y16</f>
        <v>12</v>
      </c>
      <c r="AA19" s="22" t="n">
        <f aca="false">AA16-Z16</f>
        <v>12</v>
      </c>
      <c r="AB19" s="22" t="n">
        <f aca="false">AB16-AA16</f>
        <v>11</v>
      </c>
      <c r="AC19" s="22" t="n">
        <f aca="false">AC16-AB16</f>
        <v>12</v>
      </c>
    </row>
    <row r="20" customFormat="false" ht="15" hidden="false" customHeight="true" outlineLevel="0" collapsed="false">
      <c r="A20" s="16"/>
      <c r="B20" s="17" t="s">
        <v>295</v>
      </c>
      <c r="C20" s="18" t="s">
        <v>287</v>
      </c>
      <c r="D20" s="26" t="n">
        <v>0</v>
      </c>
      <c r="E20" s="17" t="n">
        <f aca="false">E17</f>
        <v>0</v>
      </c>
      <c r="F20" s="17" t="n">
        <f aca="false">F17-E17</f>
        <v>0</v>
      </c>
      <c r="G20" s="17" t="n">
        <f aca="false">G17-F17</f>
        <v>0</v>
      </c>
      <c r="H20" s="17" t="n">
        <f aca="false">H17-G17</f>
        <v>0</v>
      </c>
      <c r="I20" s="17" t="n">
        <f aca="false">I17-H17</f>
        <v>1</v>
      </c>
      <c r="J20" s="17" t="n">
        <f aca="false">J17-I17</f>
        <v>0</v>
      </c>
      <c r="K20" s="17" t="n">
        <f aca="false">K17-J17</f>
        <v>0</v>
      </c>
      <c r="L20" s="17" t="n">
        <f aca="false">L17-K17</f>
        <v>1</v>
      </c>
      <c r="M20" s="17" t="n">
        <f aca="false">M17-L17</f>
        <v>0</v>
      </c>
      <c r="N20" s="17" t="n">
        <f aca="false">N17-M17</f>
        <v>2</v>
      </c>
      <c r="O20" s="17" t="n">
        <f aca="false">O17-N17</f>
        <v>2</v>
      </c>
      <c r="P20" s="17" t="n">
        <f aca="false">P17-O17</f>
        <v>2</v>
      </c>
      <c r="Q20" s="17" t="n">
        <f aca="false">Q17-P17</f>
        <v>3</v>
      </c>
      <c r="R20" s="17" t="n">
        <f aca="false">R17-Q17</f>
        <v>3</v>
      </c>
      <c r="S20" s="17" t="n">
        <f aca="false">S17-R17</f>
        <v>3</v>
      </c>
      <c r="T20" s="17" t="n">
        <f aca="false">T17-S17</f>
        <v>4</v>
      </c>
      <c r="U20" s="17" t="n">
        <f aca="false">U17-T17</f>
        <v>5</v>
      </c>
      <c r="V20" s="17" t="n">
        <f aca="false">V17-U17</f>
        <v>5</v>
      </c>
      <c r="W20" s="17" t="n">
        <f aca="false">W17-V17</f>
        <v>5</v>
      </c>
      <c r="X20" s="17" t="n">
        <f aca="false">X17-W17</f>
        <v>4</v>
      </c>
      <c r="Y20" s="17" t="n">
        <f aca="false">Y17-X17</f>
        <v>5</v>
      </c>
      <c r="Z20" s="17" t="n">
        <f aca="false">Z17-Y17</f>
        <v>5</v>
      </c>
      <c r="AA20" s="17" t="n">
        <f aca="false">AA17-Z17</f>
        <v>4</v>
      </c>
      <c r="AB20" s="17" t="n">
        <f aca="false">AB17-AA17</f>
        <v>5</v>
      </c>
      <c r="AC20" s="17" t="n">
        <f aca="false">AC17-AB17</f>
        <v>5</v>
      </c>
    </row>
    <row r="21" customFormat="false" ht="15" hidden="false" customHeight="true" outlineLevel="0" collapsed="false">
      <c r="A21" s="21"/>
      <c r="B21" s="22" t="s">
        <v>296</v>
      </c>
      <c r="C21" s="23" t="s">
        <v>287</v>
      </c>
      <c r="D21" s="21"/>
      <c r="E21" s="22" t="n">
        <f aca="false">E18+E19+E20</f>
        <v>0</v>
      </c>
      <c r="F21" s="22" t="n">
        <f aca="false">F18+F19+F20</f>
        <v>1</v>
      </c>
      <c r="G21" s="22" t="n">
        <f aca="false">G18+G19+G20</f>
        <v>2</v>
      </c>
      <c r="H21" s="22" t="n">
        <f aca="false">H18+H19+H20</f>
        <v>2</v>
      </c>
      <c r="I21" s="22" t="n">
        <f aca="false">I18+I19+I20</f>
        <v>4</v>
      </c>
      <c r="J21" s="22" t="n">
        <f aca="false">J18+J19+J20</f>
        <v>3</v>
      </c>
      <c r="K21" s="22" t="n">
        <f aca="false">K18+K19+K20</f>
        <v>1</v>
      </c>
      <c r="L21" s="22" t="n">
        <f aca="false">L18+L19+L20</f>
        <v>4</v>
      </c>
      <c r="M21" s="22" t="n">
        <f aca="false">M18+M19+M20</f>
        <v>3</v>
      </c>
      <c r="N21" s="22" t="n">
        <f aca="false">N18+N19+N20</f>
        <v>14</v>
      </c>
      <c r="O21" s="22" t="n">
        <f aca="false">O18+O19+O20</f>
        <v>14</v>
      </c>
      <c r="P21" s="22" t="n">
        <f aca="false">P18+P19+P20</f>
        <v>19</v>
      </c>
      <c r="Q21" s="22" t="n">
        <f aca="false">Q18+Q19+Q20</f>
        <v>23</v>
      </c>
      <c r="R21" s="22" t="n">
        <f aca="false">R18+R19+R20</f>
        <v>23</v>
      </c>
      <c r="S21" s="22" t="n">
        <f aca="false">S18+S19+S20</f>
        <v>28</v>
      </c>
      <c r="T21" s="22" t="n">
        <f aca="false">T18+T19+T20</f>
        <v>32</v>
      </c>
      <c r="U21" s="22" t="n">
        <f aca="false">U18+U19+U20</f>
        <v>38</v>
      </c>
      <c r="V21" s="22" t="n">
        <f aca="false">V18+V19+V20</f>
        <v>38</v>
      </c>
      <c r="W21" s="22" t="n">
        <f aca="false">W18+W19+W20</f>
        <v>39</v>
      </c>
      <c r="X21" s="22" t="n">
        <f aca="false">X18+X19+X20</f>
        <v>36</v>
      </c>
      <c r="Y21" s="22" t="n">
        <f aca="false">Y18+Y19+Y20</f>
        <v>38</v>
      </c>
      <c r="Z21" s="22" t="n">
        <f aca="false">Z18+Z19+Z20</f>
        <v>38</v>
      </c>
      <c r="AA21" s="22" t="n">
        <f aca="false">AA18+AA19+AA20</f>
        <v>37</v>
      </c>
      <c r="AB21" s="22" t="n">
        <f aca="false">AB18+AB19+AB20</f>
        <v>38</v>
      </c>
      <c r="AC21" s="22" t="n">
        <f aca="false">AC18+AC19+AC20</f>
        <v>38</v>
      </c>
    </row>
    <row r="23" customFormat="false" ht="15" hidden="false" customHeight="true" outlineLevel="0" collapsed="false">
      <c r="A23" s="27"/>
      <c r="B23" s="28" t="s">
        <v>297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customFormat="false" ht="15" hidden="false" customHeight="true" outlineLevel="0" collapsed="false">
      <c r="A24" s="21"/>
      <c r="B24" s="22" t="s">
        <v>298</v>
      </c>
      <c r="C24" s="23" t="s">
        <v>287</v>
      </c>
      <c r="D24" s="24" t="n">
        <v>0</v>
      </c>
      <c r="E24" s="22" t="n">
        <f aca="false">(1_Assumptions!$F74+E18)</f>
        <v>6</v>
      </c>
      <c r="F24" s="22" t="n">
        <f aca="false">ROUND((E24*(1-1_Assumptions!$F$104)^1+F18),0)</f>
        <v>7</v>
      </c>
      <c r="G24" s="22" t="n">
        <f aca="false">ROUND((F24*(1-1_Assumptions!$F$104)^1+G18),0)</f>
        <v>8</v>
      </c>
      <c r="H24" s="22" t="n">
        <f aca="false">ROUND((G24*(1-1_Assumptions!$F$104)^1+H18),0)</f>
        <v>9</v>
      </c>
      <c r="I24" s="22" t="n">
        <f aca="false">ROUND((H24*(1-1_Assumptions!$F$104)^1+I18),0)</f>
        <v>11</v>
      </c>
      <c r="J24" s="22" t="n">
        <f aca="false">ROUND((I24*(1-1_Assumptions!$F$104)^1+J18),0)</f>
        <v>13</v>
      </c>
      <c r="K24" s="22" t="n">
        <f aca="false">ROUND((J24*(1-1_Assumptions!$F$104)^1+K18),0)</f>
        <v>14</v>
      </c>
      <c r="L24" s="22" t="n">
        <f aca="false">ROUND((K24*(1-1_Assumptions!$F$104)^1+L18),0)</f>
        <v>16</v>
      </c>
      <c r="M24" s="22" t="n">
        <f aca="false">ROUND((L24*(1-1_Assumptions!$F$104)^1+M18),0)</f>
        <v>18</v>
      </c>
      <c r="N24" s="22" t="n">
        <f aca="false">ROUND((M24*(1-1_Assumptions!$F$104)^3+N18),0)</f>
        <v>24</v>
      </c>
      <c r="O24" s="22" t="n">
        <f aca="false">ROUND((N24*(1-1_Assumptions!$F$104)^3+O18),0)</f>
        <v>30</v>
      </c>
      <c r="P24" s="22" t="n">
        <f aca="false">ROUND((O24*(1-1_Assumptions!$F$104)^3+P18),0)</f>
        <v>39</v>
      </c>
      <c r="Q24" s="22" t="n">
        <f aca="false">ROUND((P24*(1-1_Assumptions!$F$104)^3+Q18),0)</f>
        <v>49</v>
      </c>
      <c r="R24" s="22" t="n">
        <f aca="false">ROUND((Q24*(1-1_Assumptions!$F$104)^3+R18),0)</f>
        <v>58</v>
      </c>
      <c r="S24" s="22" t="n">
        <f aca="false">ROUND((R24*(1-1_Assumptions!$F$104)^3+S18),0)</f>
        <v>70</v>
      </c>
      <c r="T24" s="22" t="n">
        <f aca="false">ROUND((S24*(1-1_Assumptions!$F$104)^3+T18),0)</f>
        <v>83</v>
      </c>
      <c r="U24" s="22" t="n">
        <f aca="false">ROUND((T24*(1-1_Assumptions!$F$104)^3+U18),0)</f>
        <v>98</v>
      </c>
      <c r="V24" s="22" t="n">
        <f aca="false">ROUND((U24*(1-1_Assumptions!$F$104)^3+V18),0)</f>
        <v>112</v>
      </c>
      <c r="W24" s="22" t="n">
        <f aca="false">ROUND((V24*(1-1_Assumptions!$F$104)^3+W18),0)</f>
        <v>126</v>
      </c>
      <c r="X24" s="22" t="n">
        <f aca="false">ROUND((W24*(1-1_Assumptions!$F$104)^3+X18),0)</f>
        <v>138</v>
      </c>
      <c r="Y24" s="22" t="n">
        <f aca="false">ROUND((X24*(1-1_Assumptions!$F$104)^3+Y18),0)</f>
        <v>149</v>
      </c>
      <c r="Z24" s="22" t="n">
        <f aca="false">ROUND((Y24*(1-1_Assumptions!$F$104)^3+Z18),0)</f>
        <v>159</v>
      </c>
      <c r="AA24" s="22" t="n">
        <f aca="false">ROUND((Z24*(1-1_Assumptions!$F$104)^3+AA18),0)</f>
        <v>168</v>
      </c>
      <c r="AB24" s="22" t="n">
        <f aca="false">ROUND((AA24*(1-1_Assumptions!$F$104)^3+AB18),0)</f>
        <v>178</v>
      </c>
      <c r="AC24" s="22" t="n">
        <f aca="false">ROUND((AB24*(1-1_Assumptions!$F$104)^3+AC18),0)</f>
        <v>186</v>
      </c>
    </row>
    <row r="25" customFormat="false" ht="15" hidden="false" customHeight="true" outlineLevel="0" collapsed="false">
      <c r="A25" s="44"/>
      <c r="B25" s="17" t="s">
        <v>299</v>
      </c>
      <c r="C25" s="18" t="s">
        <v>287</v>
      </c>
      <c r="D25" s="26" t="n">
        <v>0</v>
      </c>
      <c r="E25" s="17" t="n">
        <f aca="false">(1_Assumptions!$F75+E19)</f>
        <v>1</v>
      </c>
      <c r="F25" s="17" t="n">
        <f aca="false">ROUND((E25*(1-1_Assumptions!$F$105)^1+F19),0)</f>
        <v>1</v>
      </c>
      <c r="G25" s="17" t="n">
        <f aca="false">ROUND((F25*(1-1_Assumptions!$F$105)^1+G19),0)</f>
        <v>2</v>
      </c>
      <c r="H25" s="17" t="n">
        <f aca="false">ROUND((G25*(1-1_Assumptions!$F$105)^1+H19),0)</f>
        <v>3</v>
      </c>
      <c r="I25" s="17" t="n">
        <f aca="false">ROUND((H25*(1-1_Assumptions!$F$105)^1+I19),0)</f>
        <v>4</v>
      </c>
      <c r="J25" s="17" t="n">
        <f aca="false">ROUND((I25*(1-1_Assumptions!$F$105)^1+J19),0)</f>
        <v>5</v>
      </c>
      <c r="K25" s="17" t="n">
        <f aca="false">ROUND((J25*(1-1_Assumptions!$F$105)^1+K19),0)</f>
        <v>5</v>
      </c>
      <c r="L25" s="17" t="n">
        <f aca="false">ROUND((K25*(1-1_Assumptions!$F$105)^1+L19),0)</f>
        <v>6</v>
      </c>
      <c r="M25" s="17" t="n">
        <f aca="false">ROUND((L25*(1-1_Assumptions!$F$105)^1+M19),0)</f>
        <v>7</v>
      </c>
      <c r="N25" s="17" t="n">
        <f aca="false">ROUND((M25*(1-1_Assumptions!$F$105)^3+N19),0)</f>
        <v>12</v>
      </c>
      <c r="O25" s="17" t="n">
        <f aca="false">ROUND((N25*(1-1_Assumptions!$F$105)^3+O19),0)</f>
        <v>15</v>
      </c>
      <c r="P25" s="17" t="n">
        <f aca="false">ROUND((O25*(1-1_Assumptions!$F$105)^3+P19),0)</f>
        <v>20</v>
      </c>
      <c r="Q25" s="17" t="n">
        <f aca="false">ROUND((P25*(1-1_Assumptions!$F$105)^3+Q19),0)</f>
        <v>26</v>
      </c>
      <c r="R25" s="17" t="n">
        <f aca="false">ROUND((Q25*(1-1_Assumptions!$F$105)^3+R19),0)</f>
        <v>32</v>
      </c>
      <c r="S25" s="17" t="n">
        <f aca="false">ROUND((R25*(1-1_Assumptions!$F$105)^3+S19),0)</f>
        <v>40</v>
      </c>
      <c r="T25" s="17" t="n">
        <f aca="false">ROUND((S25*(1-1_Assumptions!$F$105)^3+T19),0)</f>
        <v>48</v>
      </c>
      <c r="U25" s="17" t="n">
        <f aca="false">ROUND((T25*(1-1_Assumptions!$F$105)^3+U19),0)</f>
        <v>58</v>
      </c>
      <c r="V25" s="17" t="n">
        <f aca="false">ROUND((U25*(1-1_Assumptions!$F$105)^3+V19),0)</f>
        <v>67</v>
      </c>
      <c r="W25" s="17" t="n">
        <f aca="false">ROUND((V25*(1-1_Assumptions!$F$105)^3+W19),0)</f>
        <v>76</v>
      </c>
      <c r="X25" s="17" t="n">
        <f aca="false">ROUND((W25*(1-1_Assumptions!$F$105)^3+X19),0)</f>
        <v>84</v>
      </c>
      <c r="Y25" s="17" t="n">
        <f aca="false">ROUND((X25*(1-1_Assumptions!$F$105)^3+Y19),0)</f>
        <v>92</v>
      </c>
      <c r="Z25" s="17" t="n">
        <f aca="false">ROUND((Y25*(1-1_Assumptions!$F$105)^3+Z19),0)</f>
        <v>100</v>
      </c>
      <c r="AA25" s="17" t="n">
        <f aca="false">ROUND((Z25*(1-1_Assumptions!$F$105)^3+AA19),0)</f>
        <v>108</v>
      </c>
      <c r="AB25" s="17" t="n">
        <f aca="false">ROUND((AA25*(1-1_Assumptions!$F$105)^3+AB19),0)</f>
        <v>114</v>
      </c>
      <c r="AC25" s="17" t="n">
        <f aca="false">ROUND((AB25*(1-1_Assumptions!$F$105)^3+AC19),0)</f>
        <v>121</v>
      </c>
    </row>
    <row r="26" customFormat="false" ht="15" hidden="false" customHeight="true" outlineLevel="0" collapsed="false">
      <c r="A26" s="21"/>
      <c r="B26" s="22" t="s">
        <v>300</v>
      </c>
      <c r="C26" s="23" t="s">
        <v>287</v>
      </c>
      <c r="D26" s="24" t="n">
        <v>0</v>
      </c>
      <c r="E26" s="22" t="n">
        <f aca="false">(1_Assumptions!$F76+E20)</f>
        <v>0</v>
      </c>
      <c r="F26" s="22" t="n">
        <f aca="false">ROUND((E26*(1-1_Assumptions!$F$106)^1+F20),0)</f>
        <v>0</v>
      </c>
      <c r="G26" s="22" t="n">
        <f aca="false">ROUND((F26*(1-1_Assumptions!$F$106)^1+G20),0)</f>
        <v>0</v>
      </c>
      <c r="H26" s="22" t="n">
        <f aca="false">ROUND((G26*(1-1_Assumptions!$F$106)^1+H20),0)</f>
        <v>0</v>
      </c>
      <c r="I26" s="22" t="n">
        <f aca="false">ROUND((H26*(1-1_Assumptions!$F$106)^1+I20),0)</f>
        <v>1</v>
      </c>
      <c r="J26" s="22" t="n">
        <f aca="false">ROUND((I26*(1-1_Assumptions!$F$106)^1+J20),0)</f>
        <v>1</v>
      </c>
      <c r="K26" s="22" t="n">
        <f aca="false">ROUND((J26*(1-1_Assumptions!$F$106)^1+K20),0)</f>
        <v>1</v>
      </c>
      <c r="L26" s="22" t="n">
        <f aca="false">ROUND((K26*(1-1_Assumptions!$F$106)^1+L20),0)</f>
        <v>2</v>
      </c>
      <c r="M26" s="22" t="n">
        <f aca="false">ROUND((L26*(1-1_Assumptions!$F$106)^1+M20),0)</f>
        <v>2</v>
      </c>
      <c r="N26" s="22" t="n">
        <f aca="false">ROUND((M26*(1-1_Assumptions!$F$106)^3+N20),0)</f>
        <v>4</v>
      </c>
      <c r="O26" s="22" t="n">
        <f aca="false">ROUND((N26*(1-1_Assumptions!$F$106)^3+O20),0)</f>
        <v>6</v>
      </c>
      <c r="P26" s="22" t="n">
        <f aca="false">ROUND((O26*(1-1_Assumptions!$F$106)^3+P20),0)</f>
        <v>8</v>
      </c>
      <c r="Q26" s="22" t="n">
        <f aca="false">ROUND((P26*(1-1_Assumptions!$F$106)^3+Q20),0)</f>
        <v>11</v>
      </c>
      <c r="R26" s="22" t="n">
        <f aca="false">ROUND((Q26*(1-1_Assumptions!$F$106)^3+R20),0)</f>
        <v>14</v>
      </c>
      <c r="S26" s="22" t="n">
        <f aca="false">ROUND((R26*(1-1_Assumptions!$F$106)^3+S20),0)</f>
        <v>17</v>
      </c>
      <c r="T26" s="22" t="n">
        <f aca="false">ROUND((S26*(1-1_Assumptions!$F$106)^3+T20),0)</f>
        <v>21</v>
      </c>
      <c r="U26" s="22" t="n">
        <f aca="false">ROUND((T26*(1-1_Assumptions!$F$106)^3+U20),0)</f>
        <v>26</v>
      </c>
      <c r="V26" s="22" t="n">
        <f aca="false">ROUND((U26*(1-1_Assumptions!$F$106)^3+V20),0)</f>
        <v>30</v>
      </c>
      <c r="W26" s="22" t="n">
        <f aca="false">ROUND((V26*(1-1_Assumptions!$F$106)^3+W20),0)</f>
        <v>34</v>
      </c>
      <c r="X26" s="22" t="n">
        <f aca="false">ROUND((W26*(1-1_Assumptions!$F$106)^3+X20),0)</f>
        <v>37</v>
      </c>
      <c r="Y26" s="22" t="n">
        <f aca="false">ROUND((X26*(1-1_Assumptions!$F$106)^3+Y20),0)</f>
        <v>41</v>
      </c>
      <c r="Z26" s="22" t="n">
        <f aca="false">ROUND((Y26*(1-1_Assumptions!$F$106)^3+Z20),0)</f>
        <v>45</v>
      </c>
      <c r="AA26" s="22" t="n">
        <f aca="false">ROUND((Z26*(1-1_Assumptions!$F$106)^3+AA20),0)</f>
        <v>48</v>
      </c>
      <c r="AB26" s="22" t="n">
        <f aca="false">ROUND((AA26*(1-1_Assumptions!$F$106)^3+AB20),0)</f>
        <v>52</v>
      </c>
      <c r="AC26" s="22" t="n">
        <f aca="false">ROUND((AB26*(1-1_Assumptions!$F$106)^3+AC20),0)</f>
        <v>56</v>
      </c>
    </row>
    <row r="27" customFormat="false" ht="15" hidden="false" customHeight="true" outlineLevel="0" collapsed="false">
      <c r="A27" s="16"/>
      <c r="B27" s="17" t="s">
        <v>301</v>
      </c>
      <c r="C27" s="18" t="s">
        <v>287</v>
      </c>
      <c r="D27" s="16"/>
      <c r="E27" s="17" t="n">
        <f aca="false">E24+E25+E26</f>
        <v>7</v>
      </c>
      <c r="F27" s="17" t="n">
        <f aca="false">F24+F25+F26</f>
        <v>8</v>
      </c>
      <c r="G27" s="17" t="n">
        <f aca="false">G24+G25+G26</f>
        <v>10</v>
      </c>
      <c r="H27" s="17" t="n">
        <f aca="false">H24+H25+H26</f>
        <v>12</v>
      </c>
      <c r="I27" s="17" t="n">
        <f aca="false">I24+I25+I26</f>
        <v>16</v>
      </c>
      <c r="J27" s="17" t="n">
        <f aca="false">J24+J25+J26</f>
        <v>19</v>
      </c>
      <c r="K27" s="17" t="n">
        <f aca="false">K24+K25+K26</f>
        <v>20</v>
      </c>
      <c r="L27" s="17" t="n">
        <f aca="false">L24+L25+L26</f>
        <v>24</v>
      </c>
      <c r="M27" s="17" t="n">
        <f aca="false">M24+M25+M26</f>
        <v>27</v>
      </c>
      <c r="N27" s="17" t="n">
        <f aca="false">N24+N25+N26</f>
        <v>40</v>
      </c>
      <c r="O27" s="17" t="n">
        <f aca="false">O24+O25+O26</f>
        <v>51</v>
      </c>
      <c r="P27" s="17" t="n">
        <f aca="false">P24+P25+P26</f>
        <v>67</v>
      </c>
      <c r="Q27" s="17" t="n">
        <f aca="false">Q24+Q25+Q26</f>
        <v>86</v>
      </c>
      <c r="R27" s="17" t="n">
        <f aca="false">R24+R25+R26</f>
        <v>104</v>
      </c>
      <c r="S27" s="17" t="n">
        <f aca="false">S24+S25+S26</f>
        <v>127</v>
      </c>
      <c r="T27" s="17" t="n">
        <f aca="false">T24+T25+T26</f>
        <v>152</v>
      </c>
      <c r="U27" s="17" t="n">
        <f aca="false">U24+U25+U26</f>
        <v>182</v>
      </c>
      <c r="V27" s="17" t="n">
        <f aca="false">V24+V25+V26</f>
        <v>209</v>
      </c>
      <c r="W27" s="17" t="n">
        <f aca="false">W24+W25+W26</f>
        <v>236</v>
      </c>
      <c r="X27" s="17" t="n">
        <f aca="false">X24+X25+X26</f>
        <v>259</v>
      </c>
      <c r="Y27" s="17" t="n">
        <f aca="false">Y24+Y25+Y26</f>
        <v>282</v>
      </c>
      <c r="Z27" s="17" t="n">
        <f aca="false">Z24+Z25+Z26</f>
        <v>304</v>
      </c>
      <c r="AA27" s="17" t="n">
        <f aca="false">AA24+AA25+AA26</f>
        <v>324</v>
      </c>
      <c r="AB27" s="17" t="n">
        <f aca="false">AB24+AB25+AB26</f>
        <v>344</v>
      </c>
      <c r="AC27" s="17" t="n">
        <f aca="false">AC24+AC25+AC26</f>
        <v>363</v>
      </c>
    </row>
    <row r="29" customFormat="false" ht="15" hidden="false" customHeight="true" outlineLevel="0" collapsed="false">
      <c r="A29" s="27"/>
      <c r="B29" s="28" t="s">
        <v>302</v>
      </c>
      <c r="C29" s="27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</row>
    <row r="30" customFormat="false" ht="15" hidden="false" customHeight="true" outlineLevel="0" collapsed="false">
      <c r="A30" s="21"/>
      <c r="B30" s="22" t="s">
        <v>303</v>
      </c>
      <c r="C30" s="23" t="s">
        <v>304</v>
      </c>
      <c r="D30" s="55"/>
      <c r="E30" s="37" t="n">
        <v>1</v>
      </c>
      <c r="F30" s="37" t="n">
        <v>1</v>
      </c>
      <c r="G30" s="37" t="n">
        <v>1</v>
      </c>
      <c r="H30" s="37" t="n">
        <v>1</v>
      </c>
      <c r="I30" s="37" t="n">
        <v>1</v>
      </c>
      <c r="J30" s="37" t="n">
        <v>1</v>
      </c>
      <c r="K30" s="37" t="n">
        <v>1</v>
      </c>
      <c r="L30" s="37" t="n">
        <v>1</v>
      </c>
      <c r="M30" s="37" t="n">
        <v>1</v>
      </c>
      <c r="N30" s="37" t="n">
        <v>1</v>
      </c>
      <c r="O30" s="37" t="n">
        <v>1</v>
      </c>
      <c r="P30" s="37" t="n">
        <v>1</v>
      </c>
      <c r="Q30" s="37" t="n">
        <v>1</v>
      </c>
      <c r="R30" s="37" t="n">
        <v>1</v>
      </c>
      <c r="S30" s="37" t="n">
        <v>1</v>
      </c>
      <c r="T30" s="37" t="n">
        <v>1</v>
      </c>
      <c r="U30" s="37" t="n">
        <v>1</v>
      </c>
      <c r="V30" s="37" t="n">
        <v>1</v>
      </c>
      <c r="W30" s="37" t="n">
        <v>1</v>
      </c>
      <c r="X30" s="37" t="n">
        <v>1</v>
      </c>
      <c r="Y30" s="37" t="n">
        <v>1</v>
      </c>
      <c r="Z30" s="37" t="n">
        <v>1</v>
      </c>
      <c r="AA30" s="37" t="n">
        <v>1</v>
      </c>
      <c r="AB30" s="37" t="n">
        <v>1</v>
      </c>
      <c r="AC30" s="37" t="n">
        <v>1</v>
      </c>
    </row>
    <row r="31" customFormat="false" ht="15" hidden="false" customHeight="true" outlineLevel="0" collapsed="false">
      <c r="A31" s="16"/>
      <c r="B31" s="17" t="s">
        <v>305</v>
      </c>
      <c r="C31" s="18" t="s">
        <v>304</v>
      </c>
      <c r="D31" s="56"/>
      <c r="E31" s="41" t="n">
        <v>0</v>
      </c>
      <c r="F31" s="41" t="n">
        <v>0</v>
      </c>
      <c r="G31" s="41" t="n">
        <v>0</v>
      </c>
      <c r="H31" s="42" t="n">
        <f aca="false">1_Assumptions!$F$100</f>
        <v>0.15</v>
      </c>
      <c r="I31" s="42" t="n">
        <f aca="false">MIN(1,H31+IFERROR(MIN(5_Headcount!I63*1_Assumptions!$F$83*1_Assumptions!$F$82*1/1,H27*(1-H31)*1_Assumptions!$F$95*1)/MAX(I27,1),0))</f>
        <v>0.175</v>
      </c>
      <c r="J31" s="42" t="n">
        <f aca="false">MIN(1,I31+IFERROR(MIN(5_Headcount!J63*1_Assumptions!$F$83*1_Assumptions!$F$82*1/1,I27*(1-I31)*1_Assumptions!$F$95*1)/MAX(J27,1),0))</f>
        <v>0.196052631578947</v>
      </c>
      <c r="K31" s="42" t="n">
        <f aca="false">MIN(1,J31+IFERROR(MIN(5_Headcount!K63*1_Assumptions!$F$83*1_Assumptions!$F$82*1/2,J27*(1-J31)*1_Assumptions!$F$95*1)/MAX(K27,1),0))</f>
        <v>0.206052631578947</v>
      </c>
      <c r="L31" s="42" t="n">
        <f aca="false">MIN(1,K31+IFERROR(MIN(5_Headcount!L63*1_Assumptions!$F$83*1_Assumptions!$F$82*1/2,K27*(1-K31)*1_Assumptions!$F$95*1)/MAX(L27,1),0))</f>
        <v>0.214385964912281</v>
      </c>
      <c r="M31" s="42" t="n">
        <f aca="false">MIN(1,L31+IFERROR(MIN(5_Headcount!M63*1_Assumptions!$F$83*1_Assumptions!$F$82*1/2,L27*(1-L31)*1_Assumptions!$F$95*1)/MAX(M27,1),0))</f>
        <v>0.221793372319688</v>
      </c>
      <c r="N31" s="42" t="n">
        <f aca="false">MIN(1,M31+IFERROR(MIN(5_Headcount!N63*1_Assumptions!$F$83*1_Assumptions!$F$82*3/3,M27*(1-M31)*1_Assumptions!$F$95*3)/MAX(N27,1),0))</f>
        <v>0.241793372319688</v>
      </c>
      <c r="O31" s="42" t="n">
        <f aca="false">MIN(1,N31+IFERROR(MIN(5_Headcount!O63*1_Assumptions!$F$83*1_Assumptions!$F$82*3/4,N27*(1-N31)*1_Assumptions!$F$95*3)/MAX(O27,1),0))</f>
        <v>0.253558078202041</v>
      </c>
      <c r="P31" s="42" t="n">
        <f aca="false">MIN(1,O31+IFERROR(MIN(5_Headcount!P63*1_Assumptions!$F$83*1_Assumptions!$F$82*3/4,O27*(1-O31)*1_Assumptions!$F$95*3)/MAX(P27,1),0))</f>
        <v>0.266990914022937</v>
      </c>
      <c r="Q31" s="42" t="n">
        <f aca="false">MIN(1,P31+IFERROR(MIN(5_Headcount!Q63*1_Assumptions!$F$83*1_Assumptions!$F$82*3/4,P27*(1-P31)*1_Assumptions!$F$95*3)/MAX(Q27,1),0))</f>
        <v>0.28094440239503</v>
      </c>
      <c r="R31" s="42" t="n">
        <f aca="false">MIN(1,Q31+IFERROR(MIN(5_Headcount!R63*1_Assumptions!$F$83*1_Assumptions!$F$82*3/4,Q27*(1-Q31)*1_Assumptions!$F$95*3)/MAX(R27,1),0))</f>
        <v>0.292482863933491</v>
      </c>
      <c r="S31" s="42" t="n">
        <f aca="false">MIN(1,R31+IFERROR(MIN(5_Headcount!S63*1_Assumptions!$F$83*1_Assumptions!$F$82*3/4,R27*(1-R31)*1_Assumptions!$F$95*3)/MAX(S27,1),0))</f>
        <v>0.304293887555538</v>
      </c>
      <c r="T31" s="42" t="n">
        <f aca="false">MIN(1,S31+IFERROR(MIN(5_Headcount!T63*1_Assumptions!$F$83*1_Assumptions!$F$82*3/4,S27*(1-S31)*1_Assumptions!$F$95*3)/MAX(T27,1),0))</f>
        <v>0.316135992818696</v>
      </c>
      <c r="U31" s="42" t="n">
        <f aca="false">MIN(1,T31+IFERROR(MIN(5_Headcount!U63*1_Assumptions!$F$83*1_Assumptions!$F$82*3/4,T27*(1-T31)*1_Assumptions!$F$95*3)/MAX(U27,1),0))</f>
        <v>0.327674454357158</v>
      </c>
      <c r="V31" s="42" t="n">
        <f aca="false">MIN(1,U31+IFERROR(MIN(5_Headcount!V63*1_Assumptions!$F$83*1_Assumptions!$F$82*3/4,U27*(1-U31)*1_Assumptions!$F$95*3)/MAX(V27,1),0))</f>
        <v>0.33772230124711</v>
      </c>
      <c r="W31" s="42" t="n">
        <f aca="false">MIN(1,V31+IFERROR(MIN(5_Headcount!W63*1_Assumptions!$F$83*1_Assumptions!$F$82*3/4,V27*(1-V31)*1_Assumptions!$F$95*3)/MAX(W27,1),0))</f>
        <v>0.346620606331856</v>
      </c>
      <c r="X31" s="42" t="n">
        <f aca="false">MIN(1,W31+IFERROR(MIN(5_Headcount!X63*1_Assumptions!$F$83*1_Assumptions!$F$82*3/4,W27*(1-W31)*1_Assumptions!$F$95*3)/MAX(X27,1),0))</f>
        <v>0.354728714439964</v>
      </c>
      <c r="Y31" s="42" t="n">
        <f aca="false">MIN(1,X31+IFERROR(MIN(5_Headcount!Y63*1_Assumptions!$F$83*1_Assumptions!$F$82*3/4,X27*(1-X31)*1_Assumptions!$F$95*3)/MAX(Y27,1),0))</f>
        <v>0.362175522950602</v>
      </c>
      <c r="Z31" s="42" t="n">
        <f aca="false">MIN(1,Y31+IFERROR(MIN(5_Headcount!Z63*1_Assumptions!$F$83*1_Assumptions!$F$82*3/4,Y27*(1-Y31)*1_Assumptions!$F$95*3)/MAX(Z27,1),0))</f>
        <v>0.369083417687444</v>
      </c>
      <c r="AA31" s="42" t="n">
        <f aca="false">MIN(1,Z31+IFERROR(MIN(5_Headcount!AA63*1_Assumptions!$F$83*1_Assumptions!$F$82*3/4,Z27*(1-Z31)*1_Assumptions!$F$95*3)/MAX(AA27,1),0))</f>
        <v>0.375564899168926</v>
      </c>
      <c r="AB31" s="42" t="n">
        <f aca="false">MIN(1,AA31+IFERROR(MIN(5_Headcount!AB63*1_Assumptions!$F$83*1_Assumptions!$F$82*3/4,AA27*(1-AA31)*1_Assumptions!$F$95*3)/MAX(AB27,1),0))</f>
        <v>0.381669550331716</v>
      </c>
      <c r="AC31" s="42" t="n">
        <f aca="false">MIN(1,AB31+IFERROR(MIN(5_Headcount!AC63*1_Assumptions!$F$83*1_Assumptions!$F$82*3/4,AB27*(1-AB31)*1_Assumptions!$F$95*3)/MAX(AC27,1),0))</f>
        <v>0.387454674298659</v>
      </c>
    </row>
    <row r="32" customFormat="false" ht="15" hidden="false" customHeight="true" outlineLevel="0" collapsed="false">
      <c r="A32" s="21"/>
      <c r="B32" s="22" t="s">
        <v>306</v>
      </c>
      <c r="C32" s="23" t="s">
        <v>304</v>
      </c>
      <c r="D32" s="55"/>
      <c r="E32" s="37" t="n">
        <v>0</v>
      </c>
      <c r="F32" s="37" t="n">
        <v>0</v>
      </c>
      <c r="G32" s="37" t="n">
        <v>0</v>
      </c>
      <c r="H32" s="37" t="n">
        <v>0</v>
      </c>
      <c r="I32" s="37" t="n">
        <v>0</v>
      </c>
      <c r="J32" s="37" t="n">
        <v>0</v>
      </c>
      <c r="K32" s="38" t="n">
        <f aca="false">1_Assumptions!$F$101</f>
        <v>0.1</v>
      </c>
      <c r="L32" s="38" t="n">
        <f aca="false">MIN(1,K32+IFERROR(MIN(5_Headcount!L63*1_Assumptions!$F$83*1_Assumptions!$F$82*1/2,K27*(1-K32)*1_Assumptions!$F$96*1)/MAX(L27,1),0))</f>
        <v>0.108333333333333</v>
      </c>
      <c r="M32" s="38" t="n">
        <f aca="false">MIN(1,L32+IFERROR(MIN(5_Headcount!M63*1_Assumptions!$F$83*1_Assumptions!$F$82*1/2,L27*(1-L32)*1_Assumptions!$F$96*1)/MAX(M27,1),0))</f>
        <v>0.115740740740741</v>
      </c>
      <c r="N32" s="38" t="n">
        <f aca="false">MIN(1,M32+IFERROR(MIN(5_Headcount!N63*1_Assumptions!$F$83*1_Assumptions!$F$82*3/3,M27*(1-M32)*1_Assumptions!$F$96*3)/MAX(N27,1),0))</f>
        <v>0.135740740740741</v>
      </c>
      <c r="O32" s="38" t="n">
        <f aca="false">MIN(1,N32+IFERROR(MIN(5_Headcount!O63*1_Assumptions!$F$83*1_Assumptions!$F$82*3/4,N27*(1-N32)*1_Assumptions!$F$96*3)/MAX(O27,1),0))</f>
        <v>0.147505446623094</v>
      </c>
      <c r="P32" s="38" t="n">
        <f aca="false">MIN(1,O32+IFERROR(MIN(5_Headcount!P63*1_Assumptions!$F$83*1_Assumptions!$F$82*3/4,O27*(1-O32)*1_Assumptions!$F$96*3)/MAX(P27,1),0))</f>
        <v>0.160938282443989</v>
      </c>
      <c r="Q32" s="38" t="n">
        <f aca="false">MIN(1,P32+IFERROR(MIN(5_Headcount!Q63*1_Assumptions!$F$83*1_Assumptions!$F$82*3/4,P27*(1-P32)*1_Assumptions!$F$96*3)/MAX(Q27,1),0))</f>
        <v>0.174891770816082</v>
      </c>
      <c r="R32" s="38" t="n">
        <f aca="false">MIN(1,Q32+IFERROR(MIN(5_Headcount!R63*1_Assumptions!$F$83*1_Assumptions!$F$82*3/4,Q27*(1-Q32)*1_Assumptions!$F$96*3)/MAX(R27,1),0))</f>
        <v>0.186430232354544</v>
      </c>
      <c r="S32" s="38" t="n">
        <f aca="false">MIN(1,R32+IFERROR(MIN(5_Headcount!S63*1_Assumptions!$F$83*1_Assumptions!$F$82*3/4,R27*(1-R32)*1_Assumptions!$F$96*3)/MAX(S27,1),0))</f>
        <v>0.198241255976591</v>
      </c>
      <c r="T32" s="38" t="n">
        <f aca="false">MIN(1,S32+IFERROR(MIN(5_Headcount!T63*1_Assumptions!$F$83*1_Assumptions!$F$82*3/4,S27*(1-S32)*1_Assumptions!$F$96*3)/MAX(T27,1),0))</f>
        <v>0.210083361239749</v>
      </c>
      <c r="U32" s="38" t="n">
        <f aca="false">MIN(1,T32+IFERROR(MIN(5_Headcount!U63*1_Assumptions!$F$83*1_Assumptions!$F$82*3/4,T27*(1-T32)*1_Assumptions!$F$96*3)/MAX(U27,1),0))</f>
        <v>0.221621822778211</v>
      </c>
      <c r="V32" s="38" t="n">
        <f aca="false">MIN(1,U32+IFERROR(MIN(5_Headcount!V63*1_Assumptions!$F$83*1_Assumptions!$F$82*3/4,U27*(1-U32)*1_Assumptions!$F$96*3)/MAX(V27,1),0))</f>
        <v>0.231669669668163</v>
      </c>
      <c r="W32" s="38" t="n">
        <f aca="false">MIN(1,V32+IFERROR(MIN(5_Headcount!W63*1_Assumptions!$F$83*1_Assumptions!$F$82*3/4,V27*(1-V32)*1_Assumptions!$F$96*3)/MAX(W27,1),0))</f>
        <v>0.240567974752908</v>
      </c>
      <c r="X32" s="38" t="n">
        <f aca="false">MIN(1,W32+IFERROR(MIN(5_Headcount!X63*1_Assumptions!$F$83*1_Assumptions!$F$82*3/4,W27*(1-W32)*1_Assumptions!$F$96*3)/MAX(X27,1),0))</f>
        <v>0.248676082861017</v>
      </c>
      <c r="Y32" s="38" t="n">
        <f aca="false">MIN(1,X32+IFERROR(MIN(5_Headcount!Y63*1_Assumptions!$F$83*1_Assumptions!$F$82*3/4,X27*(1-X32)*1_Assumptions!$F$96*3)/MAX(Y27,1),0))</f>
        <v>0.256122891371655</v>
      </c>
      <c r="Z32" s="38" t="n">
        <f aca="false">MIN(1,Y32+IFERROR(MIN(5_Headcount!Z63*1_Assumptions!$F$83*1_Assumptions!$F$82*3/4,Y27*(1-Y32)*1_Assumptions!$F$96*3)/MAX(Z27,1),0))</f>
        <v>0.263030786108497</v>
      </c>
      <c r="AA32" s="38" t="n">
        <f aca="false">MIN(1,Z32+IFERROR(MIN(5_Headcount!AA63*1_Assumptions!$F$83*1_Assumptions!$F$82*3/4,Z27*(1-Z32)*1_Assumptions!$F$96*3)/MAX(AA27,1),0))</f>
        <v>0.269512267589978</v>
      </c>
      <c r="AB32" s="38" t="n">
        <f aca="false">MIN(1,AA32+IFERROR(MIN(5_Headcount!AB63*1_Assumptions!$F$83*1_Assumptions!$F$82*3/4,AA27*(1-AA32)*1_Assumptions!$F$96*3)/MAX(AB27,1),0))</f>
        <v>0.275616918752769</v>
      </c>
      <c r="AC32" s="38" t="n">
        <f aca="false">MIN(1,AB32+IFERROR(MIN(5_Headcount!AC63*1_Assumptions!$F$83*1_Assumptions!$F$82*3/4,AB27*(1-AB32)*1_Assumptions!$F$96*3)/MAX(AC27,1),0))</f>
        <v>0.281402042719711</v>
      </c>
    </row>
    <row r="33" customFormat="false" ht="15" hidden="false" customHeight="true" outlineLevel="0" collapsed="false">
      <c r="A33" s="16"/>
      <c r="B33" s="17" t="s">
        <v>307</v>
      </c>
      <c r="C33" s="18" t="s">
        <v>304</v>
      </c>
      <c r="D33" s="56"/>
      <c r="E33" s="41" t="n">
        <v>0</v>
      </c>
      <c r="F33" s="41" t="n">
        <v>0</v>
      </c>
      <c r="G33" s="41" t="n">
        <v>0</v>
      </c>
      <c r="H33" s="41" t="n">
        <v>0</v>
      </c>
      <c r="I33" s="41" t="n">
        <v>0</v>
      </c>
      <c r="J33" s="41" t="n">
        <v>0</v>
      </c>
      <c r="K33" s="41" t="n">
        <v>0</v>
      </c>
      <c r="L33" s="41" t="n">
        <v>0</v>
      </c>
      <c r="M33" s="41" t="n">
        <v>0</v>
      </c>
      <c r="N33" s="42" t="n">
        <f aca="false">1_Assumptions!$F$102</f>
        <v>0.05</v>
      </c>
      <c r="O33" s="42" t="n">
        <f aca="false">MIN(1,N33+IFERROR(MIN(5_Headcount!O63*1_Assumptions!$F$83*1_Assumptions!$F$82*3/4,N27*(1-N33)*1_Assumptions!$F$97*3)/MAX(O27,1),0))</f>
        <v>0.0617647058823529</v>
      </c>
      <c r="P33" s="42" t="n">
        <f aca="false">MIN(1,O33+IFERROR(MIN(5_Headcount!P63*1_Assumptions!$F$83*1_Assumptions!$F$82*3/4,O27*(1-O33)*1_Assumptions!$F$97*3)/MAX(P27,1),0))</f>
        <v>0.0751975417032485</v>
      </c>
      <c r="Q33" s="42" t="n">
        <f aca="false">MIN(1,P33+IFERROR(MIN(5_Headcount!Q63*1_Assumptions!$F$83*1_Assumptions!$F$82*3/4,P27*(1-P33)*1_Assumptions!$F$97*3)/MAX(Q27,1),0))</f>
        <v>0.0891510300753415</v>
      </c>
      <c r="R33" s="42" t="n">
        <f aca="false">MIN(1,Q33+IFERROR(MIN(5_Headcount!R63*1_Assumptions!$F$83*1_Assumptions!$F$82*3/4,Q27*(1-Q33)*1_Assumptions!$F$97*3)/MAX(R27,1),0))</f>
        <v>0.100689491613803</v>
      </c>
      <c r="S33" s="42" t="n">
        <f aca="false">MIN(1,R33+IFERROR(MIN(5_Headcount!S63*1_Assumptions!$F$83*1_Assumptions!$F$82*3/4,R27*(1-R33)*1_Assumptions!$F$97*3)/MAX(S27,1),0))</f>
        <v>0.11250051523585</v>
      </c>
      <c r="T33" s="42" t="n">
        <f aca="false">MIN(1,S33+IFERROR(MIN(5_Headcount!T63*1_Assumptions!$F$83*1_Assumptions!$F$82*3/4,S27*(1-S33)*1_Assumptions!$F$97*3)/MAX(T27,1),0))</f>
        <v>0.124342620499008</v>
      </c>
      <c r="U33" s="42" t="n">
        <f aca="false">MIN(1,T33+IFERROR(MIN(5_Headcount!U63*1_Assumptions!$F$83*1_Assumptions!$F$82*3/4,T27*(1-T33)*1_Assumptions!$F$97*3)/MAX(U27,1),0))</f>
        <v>0.13588108203747</v>
      </c>
      <c r="V33" s="42" t="n">
        <f aca="false">MIN(1,U33+IFERROR(MIN(5_Headcount!V63*1_Assumptions!$F$83*1_Assumptions!$F$82*3/4,U27*(1-U33)*1_Assumptions!$F$97*3)/MAX(V27,1),0))</f>
        <v>0.145928928927422</v>
      </c>
      <c r="W33" s="42" t="n">
        <f aca="false">MIN(1,V33+IFERROR(MIN(5_Headcount!W63*1_Assumptions!$F$83*1_Assumptions!$F$82*3/4,V27*(1-V33)*1_Assumptions!$F$97*3)/MAX(W27,1),0))</f>
        <v>0.154827234012168</v>
      </c>
      <c r="X33" s="42" t="n">
        <f aca="false">MIN(1,W33+IFERROR(MIN(5_Headcount!X63*1_Assumptions!$F$83*1_Assumptions!$F$82*3/4,W27*(1-W33)*1_Assumptions!$F$97*3)/MAX(X27,1),0))</f>
        <v>0.162935342120276</v>
      </c>
      <c r="Y33" s="42" t="n">
        <f aca="false">MIN(1,X33+IFERROR(MIN(5_Headcount!Y63*1_Assumptions!$F$83*1_Assumptions!$F$82*3/4,X27*(1-X33)*1_Assumptions!$F$97*3)/MAX(Y27,1),0))</f>
        <v>0.170382150630914</v>
      </c>
      <c r="Z33" s="42" t="n">
        <f aca="false">MIN(1,Y33+IFERROR(MIN(5_Headcount!Z63*1_Assumptions!$F$83*1_Assumptions!$F$82*3/4,Y27*(1-Y33)*1_Assumptions!$F$97*3)/MAX(Z27,1),0))</f>
        <v>0.177290045367756</v>
      </c>
      <c r="AA33" s="42" t="n">
        <f aca="false">MIN(1,Z33+IFERROR(MIN(5_Headcount!AA63*1_Assumptions!$F$83*1_Assumptions!$F$82*3/4,Z27*(1-Z33)*1_Assumptions!$F$97*3)/MAX(AA27,1),0))</f>
        <v>0.183771526849238</v>
      </c>
      <c r="AB33" s="42" t="n">
        <f aca="false">MIN(1,AA33+IFERROR(MIN(5_Headcount!AB63*1_Assumptions!$F$83*1_Assumptions!$F$82*3/4,AA27*(1-AA33)*1_Assumptions!$F$97*3)/MAX(AB27,1),0))</f>
        <v>0.189876178012028</v>
      </c>
      <c r="AC33" s="42" t="n">
        <f aca="false">MIN(1,AB33+IFERROR(MIN(5_Headcount!AC63*1_Assumptions!$F$83*1_Assumptions!$F$82*3/4,AB27*(1-AB33)*1_Assumptions!$F$97*3)/MAX(AC27,1),0))</f>
        <v>0.19566130197897</v>
      </c>
    </row>
    <row r="34" customFormat="false" ht="15" hidden="false" customHeight="true" outlineLevel="0" collapsed="false">
      <c r="A34" s="21"/>
      <c r="B34" s="22" t="s">
        <v>308</v>
      </c>
      <c r="C34" s="23" t="s">
        <v>304</v>
      </c>
      <c r="D34" s="55"/>
      <c r="E34" s="37" t="n">
        <v>0</v>
      </c>
      <c r="F34" s="37" t="n">
        <v>0</v>
      </c>
      <c r="G34" s="37" t="n">
        <v>0</v>
      </c>
      <c r="H34" s="37" t="n">
        <v>0</v>
      </c>
      <c r="I34" s="37" t="n">
        <v>0</v>
      </c>
      <c r="J34" s="37" t="n">
        <v>0</v>
      </c>
      <c r="K34" s="37" t="n">
        <v>0</v>
      </c>
      <c r="L34" s="37" t="n">
        <v>0</v>
      </c>
      <c r="M34" s="37" t="n">
        <v>0</v>
      </c>
      <c r="N34" s="37" t="n">
        <v>0</v>
      </c>
      <c r="O34" s="38" t="n">
        <f aca="false">1_Assumptions!$F$103</f>
        <v>0.08</v>
      </c>
      <c r="P34" s="38" t="n">
        <f aca="false">MIN(1,O34+IFERROR(MIN(5_Headcount!P63*1_Assumptions!$F$83*1_Assumptions!$F$82*3/4,O27*(1-O34)*1_Assumptions!$F$98*3)/MAX(P27,1),0))</f>
        <v>0.0934328358208955</v>
      </c>
      <c r="Q34" s="38" t="n">
        <f aca="false">MIN(1,P34+IFERROR(MIN(5_Headcount!Q63*1_Assumptions!$F$83*1_Assumptions!$F$82*3/4,P27*(1-P34)*1_Assumptions!$F$98*3)/MAX(Q27,1),0))</f>
        <v>0.107386324192989</v>
      </c>
      <c r="R34" s="38" t="n">
        <f aca="false">MIN(1,Q34+IFERROR(MIN(5_Headcount!R63*1_Assumptions!$F$83*1_Assumptions!$F$82*3/4,Q27*(1-Q34)*1_Assumptions!$F$98*3)/MAX(R27,1),0))</f>
        <v>0.11892478573145</v>
      </c>
      <c r="S34" s="38" t="n">
        <f aca="false">MIN(1,R34+IFERROR(MIN(5_Headcount!S63*1_Assumptions!$F$83*1_Assumptions!$F$82*3/4,R27*(1-R34)*1_Assumptions!$F$98*3)/MAX(S27,1),0))</f>
        <v>0.130735809353497</v>
      </c>
      <c r="T34" s="38" t="n">
        <f aca="false">MIN(1,S34+IFERROR(MIN(5_Headcount!T63*1_Assumptions!$F$83*1_Assumptions!$F$82*3/4,S27*(1-S34)*1_Assumptions!$F$98*3)/MAX(T27,1),0))</f>
        <v>0.142577914616655</v>
      </c>
      <c r="U34" s="38" t="n">
        <f aca="false">MIN(1,T34+IFERROR(MIN(5_Headcount!U63*1_Assumptions!$F$83*1_Assumptions!$F$82*3/4,T27*(1-T34)*1_Assumptions!$F$98*3)/MAX(U27,1),0))</f>
        <v>0.154116376155117</v>
      </c>
      <c r="V34" s="38" t="n">
        <f aca="false">MIN(1,U34+IFERROR(MIN(5_Headcount!V63*1_Assumptions!$F$83*1_Assumptions!$F$82*3/4,U27*(1-U34)*1_Assumptions!$F$98*3)/MAX(V27,1),0))</f>
        <v>0.164164223045069</v>
      </c>
      <c r="W34" s="38" t="n">
        <f aca="false">MIN(1,V34+IFERROR(MIN(5_Headcount!W63*1_Assumptions!$F$83*1_Assumptions!$F$82*3/4,V27*(1-V34)*1_Assumptions!$F$98*3)/MAX(W27,1),0))</f>
        <v>0.173062528129815</v>
      </c>
      <c r="X34" s="38" t="n">
        <f aca="false">MIN(1,W34+IFERROR(MIN(5_Headcount!X63*1_Assumptions!$F$83*1_Assumptions!$F$82*3/4,W27*(1-W34)*1_Assumptions!$F$98*3)/MAX(X27,1),0))</f>
        <v>0.181170636237923</v>
      </c>
      <c r="Y34" s="38" t="n">
        <f aca="false">MIN(1,X34+IFERROR(MIN(5_Headcount!Y63*1_Assumptions!$F$83*1_Assumptions!$F$82*3/4,X27*(1-X34)*1_Assumptions!$F$98*3)/MAX(Y27,1),0))</f>
        <v>0.188617444748561</v>
      </c>
      <c r="Z34" s="38" t="n">
        <f aca="false">MIN(1,Y34+IFERROR(MIN(5_Headcount!Z63*1_Assumptions!$F$83*1_Assumptions!$F$82*3/4,Y27*(1-Y34)*1_Assumptions!$F$98*3)/MAX(Z27,1),0))</f>
        <v>0.195525339485403</v>
      </c>
      <c r="AA34" s="38" t="n">
        <f aca="false">MIN(1,Z34+IFERROR(MIN(5_Headcount!AA63*1_Assumptions!$F$83*1_Assumptions!$F$82*3/4,Z27*(1-Z34)*1_Assumptions!$F$98*3)/MAX(AA27,1),0))</f>
        <v>0.202006820966885</v>
      </c>
      <c r="AB34" s="38" t="n">
        <f aca="false">MIN(1,AA34+IFERROR(MIN(5_Headcount!AB63*1_Assumptions!$F$83*1_Assumptions!$F$82*3/4,AA27*(1-AA34)*1_Assumptions!$F$98*3)/MAX(AB27,1),0))</f>
        <v>0.208111472129675</v>
      </c>
      <c r="AC34" s="38" t="n">
        <f aca="false">MIN(1,AB34+IFERROR(MIN(5_Headcount!AC63*1_Assumptions!$F$83*1_Assumptions!$F$82*3/4,AB27*(1-AB34)*1_Assumptions!$F$98*3)/MAX(AC27,1),0))</f>
        <v>0.213896596096618</v>
      </c>
    </row>
    <row r="36" customFormat="false" ht="15" hidden="false" customHeight="true" outlineLevel="0" collapsed="false">
      <c r="A36" s="27"/>
      <c r="B36" s="28" t="s">
        <v>309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customFormat="false" ht="15" hidden="false" customHeight="true" outlineLevel="0" collapsed="false">
      <c r="A37" s="21"/>
      <c r="B37" s="22" t="s">
        <v>310</v>
      </c>
      <c r="C37" s="23" t="s">
        <v>311</v>
      </c>
      <c r="D37" s="21"/>
      <c r="E37" s="82" t="n">
        <f aca="false">E18*1_Assumptions!$F$15+E19*1_Assumptions!$F$22+E20*1_Assumptions!$F$29</f>
        <v>0</v>
      </c>
      <c r="F37" s="82" t="n">
        <f aca="false">F18*1_Assumptions!$F$15+F19*1_Assumptions!$F$22+F20*1_Assumptions!$F$29</f>
        <v>3900</v>
      </c>
      <c r="G37" s="82" t="n">
        <f aca="false">G18*1_Assumptions!$F$15+G19*1_Assumptions!$F$22+G20*1_Assumptions!$F$29</f>
        <v>9900</v>
      </c>
      <c r="H37" s="82" t="n">
        <f aca="false">H18*1_Assumptions!$F$15+H19*1_Assumptions!$F$22+H20*1_Assumptions!$F$29</f>
        <v>9900</v>
      </c>
      <c r="I37" s="82" t="n">
        <f aca="false">I18*1_Assumptions!$F$15+I19*1_Assumptions!$F$22+I20*1_Assumptions!$F$29</f>
        <v>22800</v>
      </c>
      <c r="J37" s="82" t="n">
        <f aca="false">J18*1_Assumptions!$F$15+J19*1_Assumptions!$F$22+J20*1_Assumptions!$F$29</f>
        <v>13800</v>
      </c>
      <c r="K37" s="82" t="n">
        <f aca="false">K18*1_Assumptions!$F$15+K19*1_Assumptions!$F$22+K20*1_Assumptions!$F$29</f>
        <v>3900</v>
      </c>
      <c r="L37" s="82" t="n">
        <f aca="false">L18*1_Assumptions!$F$15+L19*1_Assumptions!$F$22+L20*1_Assumptions!$F$29</f>
        <v>22800</v>
      </c>
      <c r="M37" s="82" t="n">
        <f aca="false">M18*1_Assumptions!$F$15+M19*1_Assumptions!$F$22+M20*1_Assumptions!$F$29</f>
        <v>13800</v>
      </c>
      <c r="N37" s="82" t="n">
        <f aca="false">N18*1_Assumptions!$F$15+N19*1_Assumptions!$F$22+N20*1_Assumptions!$F$29</f>
        <v>75300</v>
      </c>
      <c r="O37" s="82" t="n">
        <f aca="false">O18*1_Assumptions!$F$15+O19*1_Assumptions!$F$22+O20*1_Assumptions!$F$29</f>
        <v>73200</v>
      </c>
      <c r="P37" s="82" t="n">
        <f aca="false">P18*1_Assumptions!$F$15+P19*1_Assumptions!$F$22+P20*1_Assumptions!$F$29</f>
        <v>96900</v>
      </c>
      <c r="Q37" s="82" t="n">
        <f aca="false">Q18*1_Assumptions!$F$15+Q19*1_Assumptions!$F$22+Q20*1_Assumptions!$F$29</f>
        <v>119700</v>
      </c>
      <c r="R37" s="82" t="n">
        <f aca="false">R18*1_Assumptions!$F$15+R19*1_Assumptions!$F$22+R20*1_Assumptions!$F$29</f>
        <v>119700</v>
      </c>
      <c r="S37" s="82" t="n">
        <f aca="false">S18*1_Assumptions!$F$15+S19*1_Assumptions!$F$22+S20*1_Assumptions!$F$29</f>
        <v>143400</v>
      </c>
      <c r="T37" s="82" t="n">
        <f aca="false">T18*1_Assumptions!$F$15+T19*1_Assumptions!$F$22+T20*1_Assumptions!$F$29</f>
        <v>166200</v>
      </c>
      <c r="U37" s="82" t="n">
        <f aca="false">U18*1_Assumptions!$F$15+U19*1_Assumptions!$F$22+U20*1_Assumptions!$F$29</f>
        <v>198900</v>
      </c>
      <c r="V37" s="82" t="n">
        <f aca="false">V18*1_Assumptions!$F$15+V19*1_Assumptions!$F$22+V20*1_Assumptions!$F$29</f>
        <v>198900</v>
      </c>
      <c r="W37" s="82" t="n">
        <f aca="false">W18*1_Assumptions!$F$15+W19*1_Assumptions!$F$22+W20*1_Assumptions!$F$29</f>
        <v>202800</v>
      </c>
      <c r="X37" s="82" t="n">
        <f aca="false">X18*1_Assumptions!$F$15+X19*1_Assumptions!$F$22+X20*1_Assumptions!$F$29</f>
        <v>183900</v>
      </c>
      <c r="Y37" s="82" t="n">
        <f aca="false">Y18*1_Assumptions!$F$15+Y19*1_Assumptions!$F$22+Y20*1_Assumptions!$F$29</f>
        <v>198900</v>
      </c>
      <c r="Z37" s="82" t="n">
        <f aca="false">Z18*1_Assumptions!$F$15+Z19*1_Assumptions!$F$22+Z20*1_Assumptions!$F$29</f>
        <v>198900</v>
      </c>
      <c r="AA37" s="82" t="n">
        <f aca="false">AA18*1_Assumptions!$F$15+AA19*1_Assumptions!$F$22+AA20*1_Assumptions!$F$29</f>
        <v>189900</v>
      </c>
      <c r="AB37" s="82" t="n">
        <f aca="false">AB18*1_Assumptions!$F$15+AB19*1_Assumptions!$F$22+AB20*1_Assumptions!$F$29</f>
        <v>196800</v>
      </c>
      <c r="AC37" s="82" t="n">
        <f aca="false">AC18*1_Assumptions!$F$15+AC19*1_Assumptions!$F$22+AC20*1_Assumptions!$F$29</f>
        <v>198900</v>
      </c>
    </row>
    <row r="38" customFormat="false" ht="15" hidden="false" customHeight="true" outlineLevel="0" collapsed="false">
      <c r="A38" s="16"/>
      <c r="B38" s="17" t="s">
        <v>312</v>
      </c>
      <c r="C38" s="18" t="s">
        <v>311</v>
      </c>
      <c r="D38" s="16"/>
      <c r="E38" s="83" t="n">
        <v>0</v>
      </c>
      <c r="F38" s="83" t="n">
        <v>0</v>
      </c>
      <c r="G38" s="83" t="n">
        <v>0</v>
      </c>
      <c r="H38" s="84" t="n">
        <f aca="false">(H24*1_Assumptions!$F$100+H18*1_Assumptions!$F$100)*1_Assumptions!$F$16+(H25*1_Assumptions!$F$100+H19*1_Assumptions!$F$100)*1_Assumptions!$F$23+(H26*1_Assumptions!$F$100+H20*1_Assumptions!$F$100)*1_Assumptions!$F$30</f>
        <v>4050</v>
      </c>
      <c r="I38" s="84" t="n">
        <f aca="false">(I18*I31+MAX(0,H24*(I31-H31)))*1_Assumptions!$F$16+(I19*I31+MAX(0,H25*(I31-H31)))*1_Assumptions!$F$23+(I20*I31+MAX(0,H26*(I31-H31)))*1_Assumptions!$F$30</f>
        <v>2487.5</v>
      </c>
      <c r="J38" s="84" t="n">
        <f aca="false">(J18*J31+MAX(0,I24*(J31-I31)))*1_Assumptions!$F$16+(J19*J31+MAX(0,I25*(J31-I31)))*1_Assumptions!$F$23+(J20*J31+MAX(0,I26*(J31-I31)))*1_Assumptions!$F$30</f>
        <v>1881.57894736842</v>
      </c>
      <c r="K38" s="84" t="n">
        <f aca="false">(K18*K31+MAX(0,J24*(K31-J31)))*1_Assumptions!$F$16+(K19*K31+MAX(0,J25*(K31-J31)))*1_Assumptions!$F$23+(K20*K31+MAX(0,J26*(K31-J31)))*1_Assumptions!$F$30</f>
        <v>704.078947368421</v>
      </c>
      <c r="L38" s="84" t="n">
        <f aca="false">(L18*L31+MAX(0,K24*(L31-K31)))*1_Assumptions!$F$16+(L19*L31+MAX(0,K25*(L31-K31)))*1_Assumptions!$F$23+(L20*L31+MAX(0,K26*(L31-K31)))*1_Assumptions!$F$30</f>
        <v>2699.91228070175</v>
      </c>
      <c r="M38" s="84" t="n">
        <f aca="false">(M18*M31+MAX(0,L24*(M31-L31)))*1_Assumptions!$F$16+(M19*M31+MAX(0,L25*(M31-L31)))*1_Assumptions!$F$23+(M20*M31+MAX(0,L26*(M31-L31)))*1_Assumptions!$F$30</f>
        <v>1715.94541910331</v>
      </c>
      <c r="N38" s="84" t="n">
        <f aca="false">(N18*N31+MAX(0,M24*(N31-M31)))*1_Assumptions!$F$16+(N19*N31+MAX(0,M25*(N31-M31)))*1_Assumptions!$F$23+(N20*N31+MAX(0,M26*(N31-M31)))*1_Assumptions!$F$30</f>
        <v>9743.66471734893</v>
      </c>
      <c r="O38" s="84" t="n">
        <f aca="false">(O18*O31+MAX(0,N24*(O31-N31)))*1_Assumptions!$F$16+(O19*O31+MAX(0,N25*(O31-N31)))*1_Assumptions!$F$23+(O20*O31+MAX(0,N26*(O31-N31)))*1_Assumptions!$F$30</f>
        <v>9703.32760004587</v>
      </c>
      <c r="P38" s="84" t="n">
        <f aca="false">(P18*P31+MAX(0,O24*(P31-O31)))*1_Assumptions!$F$16+(P19*P31+MAX(0,O25*(P31-O31)))*1_Assumptions!$F$23+(P20*P31+MAX(0,O26*(P31-O31)))*1_Assumptions!$F$30</f>
        <v>13493.0359725281</v>
      </c>
      <c r="Q38" s="84" t="n">
        <f aca="false">(Q18*Q31+MAX(0,P24*(Q31-P31)))*1_Assumptions!$F$16+(Q19*Q31+MAX(0,P25*(Q31-P31)))*1_Assumptions!$F$23+(Q20*Q31+MAX(0,P26*(Q31-P31)))*1_Assumptions!$F$30</f>
        <v>17804.0422399009</v>
      </c>
      <c r="R38" s="84" t="n">
        <f aca="false">(R18*R31+MAX(0,Q24*(R31-Q31)))*1_Assumptions!$F$16+(R19*R31+MAX(0,Q25*(R31-Q31)))*1_Assumptions!$F$23+(R20*R31+MAX(0,Q26*(R31-Q31)))*1_Assumptions!$F$30</f>
        <v>18615.4912560011</v>
      </c>
      <c r="S38" s="84" t="n">
        <f aca="false">(S18*S31+MAX(0,R24*(S31-R31)))*1_Assumptions!$F$16+(S19*S31+MAX(0,R25*(S31-R31)))*1_Assumptions!$F$23+(S20*S31+MAX(0,R26*(S31-R31)))*1_Assumptions!$F$30</f>
        <v>23071.5855550435</v>
      </c>
      <c r="T38" s="84" t="n">
        <f aca="false">(T18*T31+MAX(0,S24*(T31-S31)))*1_Assumptions!$F$16+(T19*T31+MAX(0,S25*(T31-S31)))*1_Assumptions!$F$23+(T20*T31+MAX(0,S26*(T31-S31)))*1_Assumptions!$F$30</f>
        <v>28013.5240786186</v>
      </c>
      <c r="U38" s="84" t="n">
        <f aca="false">(U18*U31+MAX(0,T24*(U31-T31)))*1_Assumptions!$F$16+(U19*U31+MAX(0,T25*(U31-T31)))*1_Assumptions!$F$23+(U20*U31+MAX(0,T26*(U31-T31)))*1_Assumptions!$F$30</f>
        <v>34619.5024126525</v>
      </c>
      <c r="V38" s="84" t="n">
        <f aca="false">(V18*V31+MAX(0,U24*(V31-U31)))*1_Assumptions!$F$16+(V19*V31+MAX(0,U25*(V31-U31)))*1_Assumptions!$F$23+(V20*V31+MAX(0,U26*(V31-U31)))*1_Assumptions!$F$30</f>
        <v>35770.8918127261</v>
      </c>
      <c r="W38" s="84" t="n">
        <f aca="false">(W18*W31+MAX(0,V24*(W31-V31)))*1_Assumptions!$F$16+(W19*W31+MAX(0,V25*(W31-V31)))*1_Assumptions!$F$23+(W20*W31+MAX(0,V26*(W31-V31)))*1_Assumptions!$F$30</f>
        <v>37200.5573341775</v>
      </c>
      <c r="X38" s="84" t="n">
        <f aca="false">(X18*X31+MAX(0,W24*(X31-W31)))*1_Assumptions!$F$16+(X19*X31+MAX(0,W25*(X31-W31)))*1_Assumptions!$F$23+(X20*X31+MAX(0,W26*(X31-W31)))*1_Assumptions!$F$30</f>
        <v>34734.0358296364</v>
      </c>
      <c r="Y38" s="84" t="n">
        <f aca="false">(Y18*Y31+MAX(0,X24*(Y31-X31)))*1_Assumptions!$F$16+(Y19*Y31+MAX(0,X25*(Y31-X31)))*1_Assumptions!$F$23+(Y20*Y31+MAX(0,X26*(Y31-X31)))*1_Assumptions!$F$30</f>
        <v>38296.9805537818</v>
      </c>
      <c r="Z38" s="84" t="n">
        <f aca="false">(Z18*Z31+MAX(0,Y24*(Z31-Y31)))*1_Assumptions!$F$16+(Z19*Z31+MAX(0,Y25*(Z31-Y31)))*1_Assumptions!$F$23+(Z20*Z31+MAX(0,Y26*(Z31-Y31)))*1_Assumptions!$F$30</f>
        <v>39006.8279781939</v>
      </c>
      <c r="AA38" s="84" t="n">
        <f aca="false">(AA18*AA31+MAX(0,Z24*(AA31-Z31)))*1_Assumptions!$F$16+(AA19*AA31+MAX(0,Z25*(AA31-Z31)))*1_Assumptions!$F$23+(AA20*AA31+MAX(0,Z26*(AA31-Z31)))*1_Assumptions!$F$30</f>
        <v>37810.5397883921</v>
      </c>
      <c r="AB38" s="84" t="n">
        <f aca="false">(AB18*AB31+MAX(0,AA24*(AB31-AA31)))*1_Assumptions!$F$16+(AB19*AB31+MAX(0,AA25*(AB31-AA31)))*1_Assumptions!$F$23+(AB20*AB31+MAX(0,AA26*(AB31-AA31)))*1_Assumptions!$F$30</f>
        <v>39713.3244290234</v>
      </c>
      <c r="AC38" s="84" t="n">
        <f aca="false">(AC18*AC31+MAX(0,AB24*(AC31-AB31)))*1_Assumptions!$F$16+(AC19*AC31+MAX(0,AB25*(AC31-AB31)))*1_Assumptions!$F$23+(AC20*AC31+MAX(0,AB26*(AC31-AB31)))*1_Assumptions!$F$30</f>
        <v>40866.8300998986</v>
      </c>
    </row>
    <row r="39" customFormat="false" ht="15" hidden="false" customHeight="true" outlineLevel="0" collapsed="false">
      <c r="A39" s="21"/>
      <c r="B39" s="22" t="s">
        <v>313</v>
      </c>
      <c r="C39" s="23" t="s">
        <v>311</v>
      </c>
      <c r="D39" s="21"/>
      <c r="E39" s="85" t="n">
        <v>0</v>
      </c>
      <c r="F39" s="85" t="n">
        <v>0</v>
      </c>
      <c r="G39" s="85" t="n">
        <v>0</v>
      </c>
      <c r="H39" s="85" t="n">
        <v>0</v>
      </c>
      <c r="I39" s="85" t="n">
        <v>0</v>
      </c>
      <c r="J39" s="85" t="n">
        <v>0</v>
      </c>
      <c r="K39" s="82" t="n">
        <f aca="false">(K24*1_Assumptions!$F$101+K18*1_Assumptions!$F$101)*1_Assumptions!$F$17+(K25*1_Assumptions!$F$101+K19*1_Assumptions!$F$101)*1_Assumptions!$F$24+(K26*1_Assumptions!$F$101+K20*1_Assumptions!$F$101)*1_Assumptions!$F$31</f>
        <v>2850</v>
      </c>
      <c r="L39" s="82" t="n">
        <f aca="false">(L18*L32+MAX(0,K24*(L32-K32)))*1_Assumptions!$F$17+(L19*L32+MAX(0,K25*(L32-K32)))*1_Assumptions!$F$24+(L20*L32+MAX(0,K26*(L32-K32)))*1_Assumptions!$F$31</f>
        <v>1041.66666666667</v>
      </c>
      <c r="M39" s="82" t="n">
        <f aca="false">(M18*M32+MAX(0,L24*(M32-L32)))*1_Assumptions!$F$17+(M19*M32+MAX(0,L25*(M32-L32)))*1_Assumptions!$F$24+(M20*M32+MAX(0,L26*(M32-L32)))*1_Assumptions!$F$31</f>
        <v>722.222222222222</v>
      </c>
      <c r="N39" s="82" t="n">
        <f aca="false">(N18*N32+MAX(0,M24*(N32-M32)))*1_Assumptions!$F$17+(N19*N32+MAX(0,M25*(N32-M32)))*1_Assumptions!$F$24+(N20*N32+MAX(0,M26*(N32-M32)))*1_Assumptions!$F$31</f>
        <v>4037.77777777778</v>
      </c>
      <c r="O39" s="82" t="n">
        <f aca="false">(O18*O32+MAX(0,N24*(O32-N32)))*1_Assumptions!$F$17+(O19*O32+MAX(0,N25*(O32-N32)))*1_Assumptions!$F$24+(O20*O32+MAX(0,N26*(O32-N32)))*1_Assumptions!$F$31</f>
        <v>4122.03703703704</v>
      </c>
      <c r="P39" s="82" t="n">
        <f aca="false">(P18*P32+MAX(0,O24*(P32-O32)))*1_Assumptions!$F$17+(P19*P32+MAX(0,O25*(P32-O32)))*1_Assumptions!$F$24+(P20*P32+MAX(0,O26*(P32-O32)))*1_Assumptions!$F$31</f>
        <v>5916.20817481222</v>
      </c>
      <c r="Q39" s="82" t="n">
        <f aca="false">(Q18*Q32+MAX(0,P24*(Q32-P32)))*1_Assumptions!$F$17+(Q19*Q32+MAX(0,P25*(Q32-P32)))*1_Assumptions!$F$24+(Q20*Q32+MAX(0,P26*(Q32-P32)))*1_Assumptions!$F$31</f>
        <v>8051.46466141704</v>
      </c>
      <c r="R39" s="82" t="n">
        <f aca="false">(R18*R32+MAX(0,Q24*(R32-Q32)))*1_Assumptions!$F$17+(R19*R32+MAX(0,Q25*(R32-Q32)))*1_Assumptions!$F$24+(R20*R32+MAX(0,Q26*(R32-Q32)))*1_Assumptions!$F$31</f>
        <v>8600.74909791078</v>
      </c>
      <c r="S39" s="82" t="n">
        <f aca="false">(S18*S32+MAX(0,R24*(S32-R32)))*1_Assumptions!$F$17+(S19*S32+MAX(0,R25*(S32-R32)))*1_Assumptions!$F$24+(S20*S32+MAX(0,R26*(S32-R32)))*1_Assumptions!$F$31</f>
        <v>10841.4209303284</v>
      </c>
      <c r="T39" s="82" t="n">
        <f aca="false">(T18*T32+MAX(0,S24*(T32-S32)))*1_Assumptions!$F$17+(T19*T32+MAX(0,S25*(T32-S32)))*1_Assumptions!$F$24+(T20*T32+MAX(0,S26*(T32-S32)))*1_Assumptions!$F$31</f>
        <v>13405.2558370985</v>
      </c>
      <c r="U39" s="82" t="n">
        <f aca="false">(U18*U32+MAX(0,T24*(U32-T32)))*1_Assumptions!$F$17+(U19*U32+MAX(0,T25*(U32-T32)))*1_Assumptions!$F$24+(U20*U32+MAX(0,T26*(U32-T32)))*1_Assumptions!$F$31</f>
        <v>16764.8254620997</v>
      </c>
      <c r="V39" s="82" t="n">
        <f aca="false">(V18*V32+MAX(0,U24*(V32-U32)))*1_Assumptions!$F$17+(V19*V32+MAX(0,U25*(V32-U32)))*1_Assumptions!$F$24+(V20*V32+MAX(0,U26*(V32-U32)))*1_Assumptions!$F$31</f>
        <v>17543.9476556956</v>
      </c>
      <c r="W39" s="82" t="n">
        <f aca="false">(W18*W32+MAX(0,V24*(W32-V32)))*1_Assumptions!$F$17+(W19*W32+MAX(0,V25*(W32-V32)))*1_Assumptions!$F$24+(W20*W32+MAX(0,V26*(W32-V32)))*1_Assumptions!$F$31</f>
        <v>18399.3714815555</v>
      </c>
      <c r="X39" s="82" t="n">
        <f aca="false">(X18*X32+MAX(0,W24*(X32-W32)))*1_Assumptions!$F$17+(X19*X32+MAX(0,W25*(X32-W32)))*1_Assumptions!$F$24+(X20*X32+MAX(0,W26*(X32-W32)))*1_Assumptions!$F$31</f>
        <v>17393.4556419969</v>
      </c>
      <c r="Y39" s="82" t="n">
        <f aca="false">(Y18*Y32+MAX(0,X24*(Y32-X32)))*1_Assumptions!$F$17+(Y19*Y32+MAX(0,X25*(Y32-X32)))*1_Assumptions!$F$24+(Y20*Y32+MAX(0,X26*(Y32-X32)))*1_Assumptions!$F$31</f>
        <v>19250.7658171114</v>
      </c>
      <c r="Z39" s="82" t="n">
        <f aca="false">(Z18*Z32+MAX(0,Y24*(Z32-Y32)))*1_Assumptions!$F$17+(Z19*Z32+MAX(0,Y25*(Z32-Y32)))*1_Assumptions!$F$24+(Z20*Z32+MAX(0,Y26*(Z32-Y32)))*1_Assumptions!$F$31</f>
        <v>19731.0359738863</v>
      </c>
      <c r="AA39" s="82" t="n">
        <f aca="false">(AA18*AA32+MAX(0,Z24*(AA32-Z32)))*1_Assumptions!$F$17+(AA19*AA32+MAX(0,Z25*(AA32-Z32)))*1_Assumptions!$F$24+(AA20*AA32+MAX(0,Z26*(AA32-Z32)))*1_Assumptions!$F$31</f>
        <v>19248.9089729939</v>
      </c>
      <c r="AB39" s="82" t="n">
        <f aca="false">(AB18*AB32+MAX(0,AA24*(AB32-AA32)))*1_Assumptions!$F$17+(AB19*AB32+MAX(0,AA25*(AB32-AA32)))*1_Assumptions!$F$24+(AB20*AB32+MAX(0,AA26*(AB32-AA32)))*1_Assumptions!$F$31</f>
        <v>20320.2079451558</v>
      </c>
      <c r="AC39" s="82" t="n">
        <f aca="false">(AC18*AC32+MAX(0,AB24*(AC32-AB32)))*1_Assumptions!$F$17+(AC19*AC32+MAX(0,AB25*(AC32-AB32)))*1_Assumptions!$F$24+(AC20*AC32+MAX(0,AB26*(AC32-AB32)))*1_Assumptions!$F$31</f>
        <v>20989.2805625439</v>
      </c>
    </row>
    <row r="40" customFormat="false" ht="15" hidden="false" customHeight="true" outlineLevel="0" collapsed="false">
      <c r="A40" s="16"/>
      <c r="B40" s="17" t="s">
        <v>314</v>
      </c>
      <c r="C40" s="18" t="s">
        <v>311</v>
      </c>
      <c r="D40" s="16"/>
      <c r="E40" s="83" t="n">
        <v>0</v>
      </c>
      <c r="F40" s="83" t="n">
        <v>0</v>
      </c>
      <c r="G40" s="83" t="n">
        <v>0</v>
      </c>
      <c r="H40" s="83" t="n">
        <v>0</v>
      </c>
      <c r="I40" s="83" t="n">
        <v>0</v>
      </c>
      <c r="J40" s="83" t="n">
        <v>0</v>
      </c>
      <c r="K40" s="83" t="n">
        <v>0</v>
      </c>
      <c r="L40" s="83" t="n">
        <v>0</v>
      </c>
      <c r="M40" s="83" t="n">
        <v>0</v>
      </c>
      <c r="N40" s="84" t="n">
        <f aca="false">(N24*1_Assumptions!$F$102+N18*1_Assumptions!$F$102)*1_Assumptions!$F$18+(N25*1_Assumptions!$F$102+N19*1_Assumptions!$F$102)*1_Assumptions!$F$25+(N26*1_Assumptions!$F$102+N20*1_Assumptions!$F$102)*1_Assumptions!$F$32</f>
        <v>5185</v>
      </c>
      <c r="O40" s="84" t="n">
        <f aca="false">(O18*O33+MAX(0,N24*(O33-N33)))*1_Assumptions!$F$18+(O19*O33+MAX(0,N25*(O33-N33)))*1_Assumptions!$F$25+(O20*O33+MAX(0,N26*(O33-N33)))*1_Assumptions!$F$32</f>
        <v>2584.70588235294</v>
      </c>
      <c r="P40" s="84" t="n">
        <f aca="false">(P18*P33+MAX(0,O24*(P33-O33)))*1_Assumptions!$F$18+(P19*P33+MAX(0,O25*(P33-O33)))*1_Assumptions!$F$25+(P20*P33+MAX(0,O26*(P33-O33)))*1_Assumptions!$F$32</f>
        <v>4031.85250219491</v>
      </c>
      <c r="Q40" s="84" t="n">
        <f aca="false">(Q18*Q33+MAX(0,P24*(Q33-P33)))*1_Assumptions!$F$18+(Q19*Q33+MAX(0,P25*(Q33-P33)))*1_Assumptions!$F$25+(Q20*Q33+MAX(0,P26*(Q33-P33)))*1_Assumptions!$F$32</f>
        <v>5817.92075872348</v>
      </c>
      <c r="R40" s="84" t="n">
        <f aca="false">(R18*R33+MAX(0,Q24*(R33-Q33)))*1_Assumptions!$F$18+(R19*R33+MAX(0,Q25*(R33-Q33)))*1_Assumptions!$F$25+(R20*R33+MAX(0,Q26*(R33-Q33)))*1_Assumptions!$F$32</f>
        <v>6477.24991793636</v>
      </c>
      <c r="S40" s="84" t="n">
        <f aca="false">(S18*S33+MAX(0,R24*(S33-R33)))*1_Assumptions!$F$18+(S19*S33+MAX(0,R25*(S33-R33)))*1_Assumptions!$F$25+(S20*S33+MAX(0,R26*(S33-R33)))*1_Assumptions!$F$32</f>
        <v>8469.62412485807</v>
      </c>
      <c r="T40" s="84" t="n">
        <f aca="false">(T18*T33+MAX(0,S24*(T33-S33)))*1_Assumptions!$F$18+(T19*T33+MAX(0,S25*(T33-S33)))*1_Assumptions!$F$25+(T20*T33+MAX(0,S26*(T33-S33)))*1_Assumptions!$F$32</f>
        <v>10768.0585695537</v>
      </c>
      <c r="U40" s="84" t="n">
        <f aca="false">(U18*U33+MAX(0,T24*(U33-T33)))*1_Assumptions!$F$18+(U19*U33+MAX(0,T25*(U33-T33)))*1_Assumptions!$F$25+(U20*U33+MAX(0,T26*(U33-T33)))*1_Assumptions!$F$32</f>
        <v>13721.3342922947</v>
      </c>
      <c r="V40" s="84" t="n">
        <f aca="false">(V18*V33+MAX(0,U24*(V33-U33)))*1_Assumptions!$F$18+(V19*V33+MAX(0,U25*(V33-U33)))*1_Assumptions!$F$25+(V20*V33+MAX(0,U26*(V33-U33)))*1_Assumptions!$F$32</f>
        <v>14657.3961251986</v>
      </c>
      <c r="W40" s="84" t="n">
        <f aca="false">(W18*W33+MAX(0,V24*(W33-V33)))*1_Assumptions!$F$18+(W19*W33+MAX(0,V25*(W33-V33)))*1_Assumptions!$F$25+(W20*W33+MAX(0,V26*(W33-V33)))*1_Assumptions!$F$32</f>
        <v>15582.9955937838</v>
      </c>
      <c r="X40" s="84" t="n">
        <f aca="false">(X18*X33+MAX(0,W24*(X33-W33)))*1_Assumptions!$F$18+(X19*X33+MAX(0,W25*(X33-W33)))*1_Assumptions!$F$25+(X20*X33+MAX(0,W26*(X33-W33)))*1_Assumptions!$F$32</f>
        <v>15062.8471928521</v>
      </c>
      <c r="Y40" s="84" t="n">
        <f aca="false">(Y18*Y33+MAX(0,X24*(Y33-X33)))*1_Assumptions!$F$18+(Y19*Y33+MAX(0,X25*(Y33-X33)))*1_Assumptions!$F$25+(Y20*Y33+MAX(0,X26*(Y33-X33)))*1_Assumptions!$F$32</f>
        <v>16711.886663615</v>
      </c>
      <c r="Z40" s="84" t="n">
        <f aca="false">(Z18*Z33+MAX(0,Y24*(Z33-Y33)))*1_Assumptions!$F$18+(Z19*Z33+MAX(0,Y25*(Z33-Y33)))*1_Assumptions!$F$25+(Z20*Z33+MAX(0,Y26*(Z33-Y33)))*1_Assumptions!$F$32</f>
        <v>17289.0535169184</v>
      </c>
      <c r="AA40" s="84" t="n">
        <f aca="false">(AA18*AA33+MAX(0,Z24*(AA33-Z33)))*1_Assumptions!$F$18+(AA19*AA33+MAX(0,Z25*(AA33-Z33)))*1_Assumptions!$F$25+(AA20*AA33+MAX(0,Z26*(AA33-Z33)))*1_Assumptions!$F$32</f>
        <v>17108.2364153694</v>
      </c>
      <c r="AB40" s="84" t="n">
        <f aca="false">(AB18*AB33+MAX(0,AA24*(AB33-AA33)))*1_Assumptions!$F$18+(AB19*AB33+MAX(0,AA25*(AB33-AA33)))*1_Assumptions!$F$25+(AB20*AB33+MAX(0,AA26*(AB33-AA33)))*1_Assumptions!$F$32</f>
        <v>18082.8960667168</v>
      </c>
      <c r="AC40" s="84" t="n">
        <f aca="false">(AC18*AC33+MAX(0,AB24*(AC33-AB33)))*1_Assumptions!$F$18+(AC19*AC33+MAX(0,AB25*(AC33-AB33)))*1_Assumptions!$F$25+(AC20*AC33+MAX(0,AB26*(AC33-AB33)))*1_Assumptions!$F$32</f>
        <v>18801.4985038599</v>
      </c>
    </row>
    <row r="41" customFormat="false" ht="15" hidden="false" customHeight="true" outlineLevel="0" collapsed="false">
      <c r="A41" s="21"/>
      <c r="B41" s="22" t="s">
        <v>315</v>
      </c>
      <c r="C41" s="23" t="s">
        <v>311</v>
      </c>
      <c r="D41" s="21"/>
      <c r="E41" s="85" t="n">
        <v>0</v>
      </c>
      <c r="F41" s="85" t="n">
        <v>0</v>
      </c>
      <c r="G41" s="85" t="n">
        <v>0</v>
      </c>
      <c r="H41" s="85" t="n">
        <v>0</v>
      </c>
      <c r="I41" s="85" t="n">
        <v>0</v>
      </c>
      <c r="J41" s="85" t="n">
        <v>0</v>
      </c>
      <c r="K41" s="85" t="n">
        <v>0</v>
      </c>
      <c r="L41" s="85" t="n">
        <v>0</v>
      </c>
      <c r="M41" s="85" t="n">
        <v>0</v>
      </c>
      <c r="N41" s="85" t="n">
        <v>0</v>
      </c>
      <c r="O41" s="82" t="n">
        <f aca="false">(O24*1_Assumptions!$F$103+O18*1_Assumptions!$F$103)*1_Assumptions!$F$19+(O25*1_Assumptions!$F$103+O19*1_Assumptions!$F$103)*1_Assumptions!$F$26+(O26*1_Assumptions!$F$103+O20*1_Assumptions!$F$103)*1_Assumptions!$F$33</f>
        <v>12320</v>
      </c>
      <c r="P41" s="82" t="n">
        <f aca="false">(P18*P34+MAX(0,O24*(P34-O34)))*1_Assumptions!$F$19+(P19*P34+MAX(0,O25*(P34-O34)))*1_Assumptions!$F$26+(P20*P34+MAX(0,O26*(P34-O34)))*1_Assumptions!$F$33</f>
        <v>5769.70149253731</v>
      </c>
      <c r="Q41" s="82" t="n">
        <f aca="false">(Q18*Q34+MAX(0,P24*(Q34-P34)))*1_Assumptions!$F$19+(Q19*Q34+MAX(0,P25*(Q34-P34)))*1_Assumptions!$F$26+(Q20*Q34+MAX(0,P26*(Q34-P34)))*1_Assumptions!$F$33</f>
        <v>8171.56889968761</v>
      </c>
      <c r="R41" s="82" t="n">
        <f aca="false">(R18*R34+MAX(0,Q24*(R34-Q34)))*1_Assumptions!$F$19+(R19*R34+MAX(0,Q25*(R34-Q34)))*1_Assumptions!$F$26+(R20*R34+MAX(0,Q26*(R34-Q34)))*1_Assumptions!$F$33</f>
        <v>8983.01791578779</v>
      </c>
      <c r="S41" s="82" t="n">
        <f aca="false">(S18*S34+MAX(0,R24*(S34-R34)))*1_Assumptions!$F$19+(S19*S34+MAX(0,R25*(S34-R34)))*1_Assumptions!$F$26+(S20*S34+MAX(0,R26*(S34-R34)))*1_Assumptions!$F$33</f>
        <v>11616.7523937088</v>
      </c>
      <c r="T41" s="82" t="n">
        <f aca="false">(T18*T34+MAX(0,S24*(T34-S34)))*1_Assumptions!$F$19+(T19*T34+MAX(0,S25*(T34-S34)))*1_Assumptions!$F$26+(T20*T34+MAX(0,S26*(T34-S34)))*1_Assumptions!$F$33</f>
        <v>14649.5520570614</v>
      </c>
      <c r="U41" s="82" t="n">
        <f aca="false">(U18*U34+MAX(0,T24*(U34-T34)))*1_Assumptions!$F$19+(U19*U34+MAX(0,T25*(U34-T34)))*1_Assumptions!$F$26+(U20*U34+MAX(0,T26*(U34-T34)))*1_Assumptions!$F$33</f>
        <v>18565.3801789637</v>
      </c>
      <c r="V41" s="82" t="n">
        <f aca="false">(V18*V34+MAX(0,U24*(V34-U34)))*1_Assumptions!$F$19+(V19*V34+MAX(0,U25*(V34-U34)))*1_Assumptions!$F$26+(V20*V34+MAX(0,U26*(V34-U34)))*1_Assumptions!$F$33</f>
        <v>19716.7695790373</v>
      </c>
      <c r="W41" s="82" t="n">
        <f aca="false">(W18*W34+MAX(0,V24*(W34-V34)))*1_Assumptions!$F$19+(W19*W34+MAX(0,V25*(W34-V34)))*1_Assumptions!$F$26+(W20*W34+MAX(0,V26*(W34-V34)))*1_Assumptions!$F$33</f>
        <v>20886.0979831856</v>
      </c>
      <c r="X41" s="82" t="n">
        <f aca="false">(X18*X34+MAX(0,W24*(X34-W34)))*1_Assumptions!$F$19+(X19*X34+MAX(0,W25*(X34-W34)))*1_Assumptions!$F$26+(X20*X34+MAX(0,W26*(X34-W34)))*1_Assumptions!$F$33</f>
        <v>20068.3782215639</v>
      </c>
      <c r="Y41" s="82" t="n">
        <f aca="false">(Y18*Y34+MAX(0,X24*(Y34-X34)))*1_Assumptions!$F$19+(Y19*Y34+MAX(0,X25*(Y34-X34)))*1_Assumptions!$F$26+(Y20*Y34+MAX(0,X26*(Y34-X34)))*1_Assumptions!$F$33</f>
        <v>22242.858320093</v>
      </c>
      <c r="Z41" s="82" t="n">
        <f aca="false">(Z18*Z34+MAX(0,Y24*(Z34-Y34)))*1_Assumptions!$F$19+(Z19*Z34+MAX(0,Y25*(Z34-Y34)))*1_Assumptions!$F$26+(Z20*Z34+MAX(0,Y26*(Z34-Y34)))*1_Assumptions!$F$33</f>
        <v>22952.7057445051</v>
      </c>
      <c r="AA41" s="82" t="n">
        <f aca="false">(AA18*AA34+MAX(0,Z24*(AA34-Z34)))*1_Assumptions!$F$19+(AA19*AA34+MAX(0,Z25*(AA34-Z34)))*1_Assumptions!$F$26+(AA20*AA34+MAX(0,Z26*(AA34-Z34)))*1_Assumptions!$F$33</f>
        <v>22624.2079457135</v>
      </c>
      <c r="AB41" s="82" t="n">
        <f aca="false">(AB18*AB34+MAX(0,AA24*(AB34-AA34)))*1_Assumptions!$F$19+(AB19*AB34+MAX(0,AA25*(AB34-AA34)))*1_Assumptions!$F$26+(AB20*AB34+MAX(0,AA26*(AB34-AA34)))*1_Assumptions!$F$33</f>
        <v>23919.5393126377</v>
      </c>
      <c r="AC41" s="82" t="n">
        <f aca="false">(AC18*AC34+MAX(0,AB24*(AC34-AB34)))*1_Assumptions!$F$19+(AC19*AC34+MAX(0,AB25*(AC34-AB34)))*1_Assumptions!$F$26+(AC20*AC34+MAX(0,AB26*(AC34-AB34)))*1_Assumptions!$F$33</f>
        <v>24812.7078662098</v>
      </c>
    </row>
    <row r="42" customFormat="false" ht="15" hidden="false" customHeight="true" outlineLevel="0" collapsed="false">
      <c r="A42" s="16"/>
      <c r="B42" s="17" t="s">
        <v>316</v>
      </c>
      <c r="C42" s="18" t="s">
        <v>311</v>
      </c>
      <c r="D42" s="16"/>
      <c r="E42" s="84" t="n">
        <f aca="false">E37+E38+E39+E40+E41</f>
        <v>0</v>
      </c>
      <c r="F42" s="84" t="n">
        <f aca="false">F37+F38+F39+F40+F41</f>
        <v>3900</v>
      </c>
      <c r="G42" s="84" t="n">
        <f aca="false">G37+G38+G39+G40+G41</f>
        <v>9900</v>
      </c>
      <c r="H42" s="84" t="n">
        <f aca="false">H37+H38+H39+H40+H41</f>
        <v>13950</v>
      </c>
      <c r="I42" s="84" t="n">
        <f aca="false">I37+I38+I39+I40+I41</f>
        <v>25287.5</v>
      </c>
      <c r="J42" s="84" t="n">
        <f aca="false">J37+J38+J39+J40+J41</f>
        <v>15681.5789473684</v>
      </c>
      <c r="K42" s="84" t="n">
        <f aca="false">K37+K38+K39+K40+K41</f>
        <v>7454.07894736842</v>
      </c>
      <c r="L42" s="84" t="n">
        <f aca="false">L37+L38+L39+L40+L41</f>
        <v>26541.5789473684</v>
      </c>
      <c r="M42" s="84" t="n">
        <f aca="false">M37+M38+M39+M40+M41</f>
        <v>16238.1676413255</v>
      </c>
      <c r="N42" s="84" t="n">
        <f aca="false">N37+N38+N39+N40+N41</f>
        <v>94266.4424951267</v>
      </c>
      <c r="O42" s="84" t="n">
        <f aca="false">O37+O38+O39+O40+O41</f>
        <v>101930.070519436</v>
      </c>
      <c r="P42" s="84" t="n">
        <f aca="false">P37+P38+P39+P40+P41</f>
        <v>126110.798142073</v>
      </c>
      <c r="Q42" s="84" t="n">
        <f aca="false">Q37+Q38+Q39+Q40+Q41</f>
        <v>159544.996559729</v>
      </c>
      <c r="R42" s="84" t="n">
        <f aca="false">R37+R38+R39+R40+R41</f>
        <v>162376.508187636</v>
      </c>
      <c r="S42" s="84" t="n">
        <f aca="false">S37+S38+S39+S40+S41</f>
        <v>197399.383003939</v>
      </c>
      <c r="T42" s="84" t="n">
        <f aca="false">T37+T38+T39+T40+T41</f>
        <v>233036.390542332</v>
      </c>
      <c r="U42" s="84" t="n">
        <f aca="false">U37+U38+U39+U40+U41</f>
        <v>282571.042346011</v>
      </c>
      <c r="V42" s="84" t="n">
        <f aca="false">V37+V38+V39+V40+V41</f>
        <v>286589.005172658</v>
      </c>
      <c r="W42" s="84" t="n">
        <f aca="false">W37+W38+W39+W40+W41</f>
        <v>294869.022392702</v>
      </c>
      <c r="X42" s="84" t="n">
        <f aca="false">X37+X38+X39+X40+X41</f>
        <v>271158.716886049</v>
      </c>
      <c r="Y42" s="84" t="n">
        <f aca="false">Y37+Y38+Y39+Y40+Y41</f>
        <v>295402.491354601</v>
      </c>
      <c r="Z42" s="84" t="n">
        <f aca="false">Z37+Z38+Z39+Z40+Z41</f>
        <v>297879.623213504</v>
      </c>
      <c r="AA42" s="84" t="n">
        <f aca="false">AA37+AA38+AA39+AA40+AA41</f>
        <v>286691.893122469</v>
      </c>
      <c r="AB42" s="84" t="n">
        <f aca="false">AB37+AB38+AB39+AB40+AB41</f>
        <v>298835.967753534</v>
      </c>
      <c r="AC42" s="84" t="n">
        <f aca="false">AC37+AC38+AC39+AC40+AC41</f>
        <v>304370.317032512</v>
      </c>
    </row>
    <row r="44" customFormat="false" ht="15" hidden="false" customHeight="true" outlineLevel="0" collapsed="false">
      <c r="A44" s="27"/>
      <c r="B44" s="28" t="s">
        <v>317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customFormat="false" ht="15" hidden="false" customHeight="true" outlineLevel="0" collapsed="false">
      <c r="A45" s="21"/>
      <c r="B45" s="22" t="s">
        <v>318</v>
      </c>
      <c r="C45" s="23" t="s">
        <v>311</v>
      </c>
      <c r="D45" s="21"/>
      <c r="E45" s="82" t="n">
        <f aca="false">E24*E30*1_Assumptions!$F$37*1*(1-1_Assumptions!$F$135*1_Assumptions!$F$134)+E25*E30*1_Assumptions!$F$44*1*(1-1_Assumptions!$F$135*1_Assumptions!$F$134)+E26*E30*1_Assumptions!$F$51*1*(1-1_Assumptions!$F$135*1_Assumptions!$F$134)</f>
        <v>1486.08</v>
      </c>
      <c r="F45" s="82" t="n">
        <f aca="false">F24*F30*1_Assumptions!$F$37*1*(1-1_Assumptions!$F$135*1_Assumptions!$F$134)+F25*F30*1_Assumptions!$F$44*1*(1-1_Assumptions!$F$135*1_Assumptions!$F$134)+F26*F30*1_Assumptions!$F$51*1*(1-1_Assumptions!$F$135*1_Assumptions!$F$134)</f>
        <v>1685.76</v>
      </c>
      <c r="G45" s="82" t="n">
        <f aca="false">G24*G30*1_Assumptions!$F$37*1*(1-1_Assumptions!$F$135*1_Assumptions!$F$134)+G25*G30*1_Assumptions!$F$44*1*(1-1_Assumptions!$F$135*1_Assumptions!$F$134)+G26*G30*1_Assumptions!$F$51*1*(1-1_Assumptions!$F$135*1_Assumptions!$F$134)</f>
        <v>2173.44</v>
      </c>
      <c r="H45" s="82" t="n">
        <f aca="false">H24*H30*1_Assumptions!$F$37*1*(1-1_Assumptions!$F$135*1_Assumptions!$F$134)+H25*H30*1_Assumptions!$F$44*1*(1-1_Assumptions!$F$135*1_Assumptions!$F$134)+H26*H30*1_Assumptions!$F$51*1*(1-1_Assumptions!$F$135*1_Assumptions!$F$134)</f>
        <v>2661.12</v>
      </c>
      <c r="I45" s="82" t="n">
        <f aca="false">I24*I30*1_Assumptions!$F$37*1*(1-1_Assumptions!$F$135*1_Assumptions!$F$134)+I25*I30*1_Assumptions!$F$44*1*(1-1_Assumptions!$F$135*1_Assumptions!$F$134)+I26*I30*1_Assumptions!$F$51*1*(1-1_Assumptions!$F$135*1_Assumptions!$F$134)</f>
        <v>3828.48</v>
      </c>
      <c r="J45" s="82" t="n">
        <f aca="false">J24*J30*1_Assumptions!$F$37*1*(1-1_Assumptions!$F$135*1_Assumptions!$F$134)+J25*J30*1_Assumptions!$F$44*1*(1-1_Assumptions!$F$135*1_Assumptions!$F$134)+J26*J30*1_Assumptions!$F$51*1*(1-1_Assumptions!$F$135*1_Assumptions!$F$134)</f>
        <v>4515.84</v>
      </c>
      <c r="K45" s="82" t="n">
        <f aca="false">K24*K30*1_Assumptions!$F$37*1*(1-1_Assumptions!$F$135*1_Assumptions!$F$134)+K25*K30*1_Assumptions!$F$44*1*(1-1_Assumptions!$F$135*1_Assumptions!$F$134)+K26*K30*1_Assumptions!$F$51*1*(1-1_Assumptions!$F$135*1_Assumptions!$F$134)</f>
        <v>4715.52</v>
      </c>
      <c r="L45" s="82" t="n">
        <f aca="false">L24*L30*1_Assumptions!$F$37*1*(1-1_Assumptions!$F$135*1_Assumptions!$F$134)+L25*L30*1_Assumptions!$F$44*1*(1-1_Assumptions!$F$135*1_Assumptions!$F$134)+L26*L30*1_Assumptions!$F$51*1*(1-1_Assumptions!$F$135*1_Assumptions!$F$134)</f>
        <v>5882.88</v>
      </c>
      <c r="M45" s="82" t="n">
        <f aca="false">M24*M30*1_Assumptions!$F$37*1*(1-1_Assumptions!$F$135*1_Assumptions!$F$134)+M25*M30*1_Assumptions!$F$44*1*(1-1_Assumptions!$F$135*1_Assumptions!$F$134)+M26*M30*1_Assumptions!$F$51*1*(1-1_Assumptions!$F$135*1_Assumptions!$F$134)</f>
        <v>6570.24</v>
      </c>
      <c r="N45" s="82" t="n">
        <f aca="false">N24*N30*1_Assumptions!$F$37*3*(1-1_Assumptions!$F$135*1_Assumptions!$F$134)+N25*N30*1_Assumptions!$F$44*3*(1-1_Assumptions!$F$135*1_Assumptions!$F$134)+N26*N30*1_Assumptions!$F$51*3*(1-1_Assumptions!$F$135*1_Assumptions!$F$134)</f>
        <v>30504.96</v>
      </c>
      <c r="O45" s="82" t="n">
        <f aca="false">O24*O30*1_Assumptions!$F$37*3*(1-1_Assumptions!$F$135*1_Assumptions!$F$134)+O25*O30*1_Assumptions!$F$44*3*(1-1_Assumptions!$F$135*1_Assumptions!$F$134)+O26*O30*1_Assumptions!$F$51*3*(1-1_Assumptions!$F$135*1_Assumptions!$F$134)</f>
        <v>39571.2</v>
      </c>
      <c r="P45" s="82" t="n">
        <f aca="false">P24*P30*1_Assumptions!$F$37*3*(1-1_Assumptions!$F$135*1_Assumptions!$F$134)+P25*P30*1_Assumptions!$F$44*3*(1-1_Assumptions!$F$135*1_Assumptions!$F$134)+P26*P30*1_Assumptions!$F$51*3*(1-1_Assumptions!$F$135*1_Assumptions!$F$134)</f>
        <v>52162.56</v>
      </c>
      <c r="Q45" s="82" t="n">
        <f aca="false">Q24*Q30*1_Assumptions!$F$37*3*(1-1_Assumptions!$F$135*1_Assumptions!$F$134)+Q25*Q30*1_Assumptions!$F$44*3*(1-1_Assumptions!$F$135*1_Assumptions!$F$134)+Q26*Q30*1_Assumptions!$F$51*3*(1-1_Assumptions!$F$135*1_Assumptions!$F$134)</f>
        <v>67656.96</v>
      </c>
      <c r="R45" s="82" t="n">
        <f aca="false">R24*R30*1_Assumptions!$F$37*3*(1-1_Assumptions!$F$135*1_Assumptions!$F$134)+R25*R30*1_Assumptions!$F$44*3*(1-1_Assumptions!$F$135*1_Assumptions!$F$134)+R26*R30*1_Assumptions!$F$51*3*(1-1_Assumptions!$F$135*1_Assumptions!$F$134)</f>
        <v>82552.32</v>
      </c>
      <c r="S45" s="82" t="n">
        <f aca="false">S24*S30*1_Assumptions!$F$37*3*(1-1_Assumptions!$F$135*1_Assumptions!$F$134)+S25*S30*1_Assumptions!$F$44*3*(1-1_Assumptions!$F$135*1_Assumptions!$F$134)+S26*S30*1_Assumptions!$F$51*3*(1-1_Assumptions!$F$135*1_Assumptions!$F$134)</f>
        <v>100972.8</v>
      </c>
      <c r="T45" s="82" t="n">
        <f aca="false">T24*T30*1_Assumptions!$F$37*3*(1-1_Assumptions!$F$135*1_Assumptions!$F$134)+T25*T30*1_Assumptions!$F$44*3*(1-1_Assumptions!$F$135*1_Assumptions!$F$134)+T26*T30*1_Assumptions!$F$51*3*(1-1_Assumptions!$F$135*1_Assumptions!$F$134)</f>
        <v>121432.32</v>
      </c>
      <c r="U45" s="82" t="n">
        <f aca="false">U24*U30*1_Assumptions!$F$37*3*(1-1_Assumptions!$F$135*1_Assumptions!$F$134)+U25*U30*1_Assumptions!$F$44*3*(1-1_Assumptions!$F$135*1_Assumptions!$F$134)+U26*U30*1_Assumptions!$F$51*3*(1-1_Assumptions!$F$135*1_Assumptions!$F$134)</f>
        <v>146257.92</v>
      </c>
      <c r="V45" s="82" t="n">
        <f aca="false">V24*V30*1_Assumptions!$F$37*3*(1-1_Assumptions!$F$135*1_Assumptions!$F$134)+V25*V30*1_Assumptions!$F$44*3*(1-1_Assumptions!$F$135*1_Assumptions!$F$134)+V26*V30*1_Assumptions!$F$51*3*(1-1_Assumptions!$F$135*1_Assumptions!$F$134)</f>
        <v>168180.48</v>
      </c>
      <c r="W45" s="82" t="n">
        <f aca="false">W24*W30*1_Assumptions!$F$37*3*(1-1_Assumptions!$F$135*1_Assumptions!$F$134)+W25*W30*1_Assumptions!$F$44*3*(1-1_Assumptions!$F$135*1_Assumptions!$F$134)+W26*W30*1_Assumptions!$F$51*3*(1-1_Assumptions!$F$135*1_Assumptions!$F$134)</f>
        <v>190103.04</v>
      </c>
      <c r="X45" s="82" t="n">
        <f aca="false">X24*X30*1_Assumptions!$F$37*3*(1-1_Assumptions!$F$135*1_Assumptions!$F$134)+X25*X30*1_Assumptions!$F$44*3*(1-1_Assumptions!$F$135*1_Assumptions!$F$134)+X26*X30*1_Assumptions!$F$51*3*(1-1_Assumptions!$F$135*1_Assumptions!$F$134)</f>
        <v>208523.52</v>
      </c>
      <c r="Y45" s="82" t="n">
        <f aca="false">Y24*Y30*1_Assumptions!$F$37*3*(1-1_Assumptions!$F$135*1_Assumptions!$F$134)+Y25*Y30*1_Assumptions!$F$44*3*(1-1_Assumptions!$F$135*1_Assumptions!$F$134)+Y26*Y30*1_Assumptions!$F$51*3*(1-1_Assumptions!$F$135*1_Assumptions!$F$134)</f>
        <v>227784.96</v>
      </c>
      <c r="Z45" s="82" t="n">
        <f aca="false">Z24*Z30*1_Assumptions!$F$37*3*(1-1_Assumptions!$F$135*1_Assumptions!$F$134)+Z25*Z30*1_Assumptions!$F$44*3*(1-1_Assumptions!$F$135*1_Assumptions!$F$134)+Z26*Z30*1_Assumptions!$F$51*3*(1-1_Assumptions!$F$135*1_Assumptions!$F$134)</f>
        <v>246447.36</v>
      </c>
      <c r="AA45" s="82" t="n">
        <f aca="false">AA24*AA30*1_Assumptions!$F$37*3*(1-1_Assumptions!$F$135*1_Assumptions!$F$134)+AA25*AA30*1_Assumptions!$F$44*3*(1-1_Assumptions!$F$135*1_Assumptions!$F$134)+AA26*AA30*1_Assumptions!$F$51*3*(1-1_Assumptions!$F$135*1_Assumptions!$F$134)</f>
        <v>263070.72</v>
      </c>
      <c r="AB45" s="82" t="n">
        <f aca="false">AB24*AB30*1_Assumptions!$F$37*3*(1-1_Assumptions!$F$135*1_Assumptions!$F$134)+AB25*AB30*1_Assumptions!$F$44*3*(1-1_Assumptions!$F$135*1_Assumptions!$F$134)+AB26*AB30*1_Assumptions!$F$51*3*(1-1_Assumptions!$F$135*1_Assumptions!$F$134)</f>
        <v>280005.12</v>
      </c>
      <c r="AC45" s="82" t="n">
        <f aca="false">AC24*AC30*1_Assumptions!$F$37*3*(1-1_Assumptions!$F$135*1_Assumptions!$F$134)+AC25*AC30*1_Assumptions!$F$44*3*(1-1_Assumptions!$F$135*1_Assumptions!$F$134)+AC26*AC30*1_Assumptions!$F$51*3*(1-1_Assumptions!$F$135*1_Assumptions!$F$134)</f>
        <v>296605.44</v>
      </c>
    </row>
    <row r="46" customFormat="false" ht="15" hidden="false" customHeight="true" outlineLevel="0" collapsed="false">
      <c r="A46" s="16"/>
      <c r="B46" s="17" t="s">
        <v>319</v>
      </c>
      <c r="C46" s="18" t="s">
        <v>311</v>
      </c>
      <c r="D46" s="16"/>
      <c r="E46" s="83" t="n">
        <v>0</v>
      </c>
      <c r="F46" s="83" t="n">
        <v>0</v>
      </c>
      <c r="G46" s="83" t="n">
        <v>0</v>
      </c>
      <c r="H46" s="84" t="n">
        <f aca="false">H24*H31*1_Assumptions!$F$38*1*(1-1_Assumptions!$F$135*1_Assumptions!$F$134)+H25*H31*1_Assumptions!$F$45*1*(1-1_Assumptions!$F$135*1_Assumptions!$F$134)+H26*H31*1_Assumptions!$F$52*1*(1-1_Assumptions!$F$135*1_Assumptions!$F$134)</f>
        <v>345.6</v>
      </c>
      <c r="I46" s="84" t="n">
        <f aca="false">I24*I31*1_Assumptions!$F$38*1*(1-1_Assumptions!$F$135*1_Assumptions!$F$134)+I25*I31*1_Assumptions!$F$45*1*(1-1_Assumptions!$F$135*1_Assumptions!$F$134)+I26*I31*1_Assumptions!$F$52*1*(1-1_Assumptions!$F$135*1_Assumptions!$F$134)</f>
        <v>613.2</v>
      </c>
      <c r="J46" s="84" t="n">
        <f aca="false">J24*J31*1_Assumptions!$F$38*1*(1-1_Assumptions!$F$135*1_Assumptions!$F$134)+J25*J31*1_Assumptions!$F$45*1*(1-1_Assumptions!$F$135*1_Assumptions!$F$134)+J26*J31*1_Assumptions!$F$52*1*(1-1_Assumptions!$F$135*1_Assumptions!$F$134)</f>
        <v>809.305263157895</v>
      </c>
      <c r="K46" s="84" t="n">
        <f aca="false">K24*K31*1_Assumptions!$F$38*1*(1-1_Assumptions!$F$135*1_Assumptions!$F$134)+K25*K31*1_Assumptions!$F$45*1*(1-1_Assumptions!$F$135*1_Assumptions!$F$134)+K26*K31*1_Assumptions!$F$52*1*(1-1_Assumptions!$F$135*1_Assumptions!$F$134)</f>
        <v>880.256842105263</v>
      </c>
      <c r="L46" s="84" t="n">
        <f aca="false">L24*L31*1_Assumptions!$F$38*1*(1-1_Assumptions!$F$135*1_Assumptions!$F$134)+L25*L31*1_Assumptions!$F$45*1*(1-1_Assumptions!$F$135*1_Assumptions!$F$134)+L26*L31*1_Assumptions!$F$52*1*(1-1_Assumptions!$F$135*1_Assumptions!$F$134)</f>
        <v>1173.12</v>
      </c>
      <c r="M46" s="84" t="n">
        <f aca="false">M24*M31*1_Assumptions!$F$38*1*(1-1_Assumptions!$F$135*1_Assumptions!$F$134)+M25*M31*1_Assumptions!$F$45*1*(1-1_Assumptions!$F$135*1_Assumptions!$F$134)+M26*M31*1_Assumptions!$F$52*1*(1-1_Assumptions!$F$135*1_Assumptions!$F$134)</f>
        <v>1352.05239766082</v>
      </c>
      <c r="N46" s="84" t="n">
        <f aca="false">N24*N31*1_Assumptions!$F$38*3*(1-1_Assumptions!$F$135*1_Assumptions!$F$134)+N25*N31*1_Assumptions!$F$45*3*(1-1_Assumptions!$F$135*1_Assumptions!$F$134)+N26*N31*1_Assumptions!$F$52*3*(1-1_Assumptions!$F$135*1_Assumptions!$F$134)</f>
        <v>7102.92210526316</v>
      </c>
      <c r="O46" s="84" t="n">
        <f aca="false">O24*O31*1_Assumptions!$F$38*3*(1-1_Assumptions!$F$135*1_Assumptions!$F$134)+O25*O31*1_Assumptions!$F$45*3*(1-1_Assumptions!$F$135*1_Assumptions!$F$134)+O26*O31*1_Assumptions!$F$52*3*(1-1_Assumptions!$F$135*1_Assumptions!$F$134)</f>
        <v>9748.80099071207</v>
      </c>
      <c r="P46" s="84" t="n">
        <f aca="false">P24*P31*1_Assumptions!$F$38*3*(1-1_Assumptions!$F$135*1_Assumptions!$F$134)+P25*P31*1_Assumptions!$F$45*3*(1-1_Assumptions!$F$135*1_Assumptions!$F$134)+P26*P31*1_Assumptions!$F$52*3*(1-1_Assumptions!$F$135*1_Assumptions!$F$134)</f>
        <v>13571.6821416139</v>
      </c>
      <c r="Q46" s="84" t="n">
        <f aca="false">Q24*Q31*1_Assumptions!$F$38*3*(1-1_Assumptions!$F$135*1_Assumptions!$F$134)+Q25*Q31*1_Assumptions!$F$45*3*(1-1_Assumptions!$F$135*1_Assumptions!$F$134)+Q26*Q31*1_Assumptions!$F$52*3*(1-1_Assumptions!$F$135*1_Assumptions!$F$134)</f>
        <v>18650.2132085917</v>
      </c>
      <c r="R46" s="84" t="n">
        <f aca="false">R24*R31*1_Assumptions!$F$38*3*(1-1_Assumptions!$F$135*1_Assumptions!$F$134)+R25*R31*1_Assumptions!$F$45*3*(1-1_Assumptions!$F$135*1_Assumptions!$F$134)+R26*R31*1_Assumptions!$F$52*3*(1-1_Assumptions!$F$135*1_Assumptions!$F$134)</f>
        <v>23838.5233420353</v>
      </c>
      <c r="S46" s="84" t="n">
        <f aca="false">S24*S31*1_Assumptions!$F$38*3*(1-1_Assumptions!$F$135*1_Assumptions!$F$134)+S25*S31*1_Assumptions!$F$45*3*(1-1_Assumptions!$F$135*1_Assumptions!$F$134)+S26*S31*1_Assumptions!$F$52*3*(1-1_Assumptions!$F$135*1_Assumptions!$F$134)</f>
        <v>30409.9139467503</v>
      </c>
      <c r="T46" s="84" t="n">
        <f aca="false">T24*T31*1_Assumptions!$F$38*3*(1-1_Assumptions!$F$135*1_Assumptions!$F$134)+T25*T31*1_Assumptions!$F$45*3*(1-1_Assumptions!$F$135*1_Assumptions!$F$134)+T26*T31*1_Assumptions!$F$52*3*(1-1_Assumptions!$F$135*1_Assumptions!$F$134)</f>
        <v>38103.2389424518</v>
      </c>
      <c r="U46" s="84" t="n">
        <f aca="false">U24*U31*1_Assumptions!$F$38*3*(1-1_Assumptions!$F$135*1_Assumptions!$F$134)+U25*U31*1_Assumptions!$F$45*3*(1-1_Assumptions!$F$135*1_Assumptions!$F$134)+U26*U31*1_Assumptions!$F$52*3*(1-1_Assumptions!$F$135*1_Assumptions!$F$134)</f>
        <v>47751.3428845599</v>
      </c>
      <c r="V46" s="84" t="n">
        <f aca="false">V24*V31*1_Assumptions!$F$38*3*(1-1_Assumptions!$F$135*1_Assumptions!$F$134)+V25*V31*1_Assumptions!$F$45*3*(1-1_Assumptions!$F$135*1_Assumptions!$F$134)+V26*V31*1_Assumptions!$F$52*3*(1-1_Assumptions!$F$135*1_Assumptions!$F$134)</f>
        <v>56656.2932572152</v>
      </c>
      <c r="W46" s="84" t="n">
        <f aca="false">W24*W31*1_Assumptions!$F$38*3*(1-1_Assumptions!$F$135*1_Assumptions!$F$134)+W25*W31*1_Assumptions!$F$45*3*(1-1_Assumptions!$F$135*1_Assumptions!$F$134)+W26*W31*1_Assumptions!$F$52*3*(1-1_Assumptions!$F$135*1_Assumptions!$F$134)</f>
        <v>65785.8181169356</v>
      </c>
      <c r="X46" s="84" t="n">
        <f aca="false">X24*X31*1_Assumptions!$F$38*3*(1-1_Assumptions!$F$135*1_Assumptions!$F$134)+X25*X31*1_Assumptions!$F$45*3*(1-1_Assumptions!$F$135*1_Assumptions!$F$134)+X26*X31*1_Assumptions!$F$52*3*(1-1_Assumptions!$F$135*1_Assumptions!$F$134)</f>
        <v>73863.031835547</v>
      </c>
      <c r="Y46" s="84" t="n">
        <f aca="false">Y24*Y31*1_Assumptions!$F$38*3*(1-1_Assumptions!$F$135*1_Assumptions!$F$134)+Y25*Y31*1_Assumptions!$F$45*3*(1-1_Assumptions!$F$135*1_Assumptions!$F$134)+Y26*Y31*1_Assumptions!$F$52*3*(1-1_Assumptions!$F$135*1_Assumptions!$F$134)</f>
        <v>82558.6348076357</v>
      </c>
      <c r="Z46" s="84" t="n">
        <f aca="false">Z24*Z31*1_Assumptions!$F$38*3*(1-1_Assumptions!$F$135*1_Assumptions!$F$134)+Z25*Z31*1_Assumptions!$F$45*3*(1-1_Assumptions!$F$135*1_Assumptions!$F$134)+Z26*Z31*1_Assumptions!$F$52*3*(1-1_Assumptions!$F$135*1_Assumptions!$F$134)</f>
        <v>91255.1368563852</v>
      </c>
      <c r="AA46" s="84" t="n">
        <f aca="false">AA24*AA31*1_Assumptions!$F$38*3*(1-1_Assumptions!$F$135*1_Assumptions!$F$134)+AA25*AA31*1_Assumptions!$F$45*3*(1-1_Assumptions!$F$135*1_Assumptions!$F$134)+AA26*AA31*1_Assumptions!$F$52*3*(1-1_Assumptions!$F$135*1_Assumptions!$F$134)</f>
        <v>99293.3503018773</v>
      </c>
      <c r="AB46" s="84" t="n">
        <f aca="false">AB24*AB31*1_Assumptions!$F$38*3*(1-1_Assumptions!$F$135*1_Assumptions!$F$134)+AB25*AB31*1_Assumptions!$F$45*3*(1-1_Assumptions!$F$135*1_Assumptions!$F$134)+AB26*AB31*1_Assumptions!$F$52*3*(1-1_Assumptions!$F$135*1_Assumptions!$F$134)</f>
        <v>107502.572224633</v>
      </c>
      <c r="AC46" s="84" t="n">
        <f aca="false">AC24*AC31*1_Assumptions!$F$38*3*(1-1_Assumptions!$F$135*1_Assumptions!$F$134)+AC25*AC31*1_Assumptions!$F$45*3*(1-1_Assumptions!$F$135*1_Assumptions!$F$134)+AC26*AC31*1_Assumptions!$F$52*3*(1-1_Assumptions!$F$135*1_Assumptions!$F$134)</f>
        <v>115883.043626637</v>
      </c>
    </row>
    <row r="47" customFormat="false" ht="15" hidden="false" customHeight="true" outlineLevel="0" collapsed="false">
      <c r="A47" s="21"/>
      <c r="B47" s="22" t="s">
        <v>320</v>
      </c>
      <c r="C47" s="23" t="s">
        <v>311</v>
      </c>
      <c r="D47" s="21"/>
      <c r="E47" s="85" t="n">
        <v>0</v>
      </c>
      <c r="F47" s="85" t="n">
        <v>0</v>
      </c>
      <c r="G47" s="85" t="n">
        <v>0</v>
      </c>
      <c r="H47" s="85" t="n">
        <v>0</v>
      </c>
      <c r="I47" s="85" t="n">
        <v>0</v>
      </c>
      <c r="J47" s="85" t="n">
        <v>0</v>
      </c>
      <c r="K47" s="82" t="n">
        <f aca="false">K24*K32*1_Assumptions!$F$39*1*(1-1_Assumptions!$F$135*1_Assumptions!$F$134)+K25*K32*1_Assumptions!$F$46*1*(1-1_Assumptions!$F$135*1_Assumptions!$F$134)+K26*K32*1_Assumptions!$F$53*1*(1-1_Assumptions!$F$135*1_Assumptions!$F$134)</f>
        <v>268.8</v>
      </c>
      <c r="L47" s="82" t="n">
        <f aca="false">L24*L32*1_Assumptions!$F$39*1*(1-1_Assumptions!$F$135*1_Assumptions!$F$134)+L25*L32*1_Assumptions!$F$46*1*(1-1_Assumptions!$F$135*1_Assumptions!$F$134)+L26*L32*1_Assumptions!$F$53*1*(1-1_Assumptions!$F$135*1_Assumptions!$F$134)</f>
        <v>374.4</v>
      </c>
      <c r="M47" s="82" t="n">
        <f aca="false">M24*M32*1_Assumptions!$F$39*1*(1-1_Assumptions!$F$135*1_Assumptions!$F$134)+M25*M32*1_Assumptions!$F$46*1*(1-1_Assumptions!$F$135*1_Assumptions!$F$134)+M26*M32*1_Assumptions!$F$53*1*(1-1_Assumptions!$F$135*1_Assumptions!$F$134)</f>
        <v>444.444444444444</v>
      </c>
      <c r="N47" s="82" t="n">
        <f aca="false">N24*N32*1_Assumptions!$F$39*3*(1-1_Assumptions!$F$135*1_Assumptions!$F$134)+N25*N32*1_Assumptions!$F$46*3*(1-1_Assumptions!$F$135*1_Assumptions!$F$134)+N26*N32*1_Assumptions!$F$53*3*(1-1_Assumptions!$F$135*1_Assumptions!$F$134)</f>
        <v>2501.97333333333</v>
      </c>
      <c r="O47" s="82" t="n">
        <f aca="false">O24*O32*1_Assumptions!$F$39*3*(1-1_Assumptions!$F$135*1_Assumptions!$F$134)+O25*O32*1_Assumptions!$F$46*3*(1-1_Assumptions!$F$135*1_Assumptions!$F$134)+O26*O32*1_Assumptions!$F$53*3*(1-1_Assumptions!$F$135*1_Assumptions!$F$134)</f>
        <v>3568.45176470588</v>
      </c>
      <c r="P47" s="82" t="n">
        <f aca="false">P24*P32*1_Assumptions!$F$39*3*(1-1_Assumptions!$F$135*1_Assumptions!$F$134)+P25*P32*1_Assumptions!$F$46*3*(1-1_Assumptions!$F$135*1_Assumptions!$F$134)+P26*P32*1_Assumptions!$F$53*3*(1-1_Assumptions!$F$135*1_Assumptions!$F$134)</f>
        <v>5144.87501316945</v>
      </c>
      <c r="Q47" s="82" t="n">
        <f aca="false">Q24*Q32*1_Assumptions!$F$39*3*(1-1_Assumptions!$F$135*1_Assumptions!$F$134)+Q25*Q32*1_Assumptions!$F$46*3*(1-1_Assumptions!$F$135*1_Assumptions!$F$134)+Q26*Q32*1_Assumptions!$F$53*3*(1-1_Assumptions!$F$135*1_Assumptions!$F$134)</f>
        <v>7303.4803492796</v>
      </c>
      <c r="R47" s="82" t="n">
        <f aca="false">R24*R32*1_Assumptions!$F$39*3*(1-1_Assumptions!$F$135*1_Assumptions!$F$134)+R25*R32*1_Assumptions!$F$46*3*(1-1_Assumptions!$F$135*1_Assumptions!$F$134)+R26*R32*1_Assumptions!$F$53*3*(1-1_Assumptions!$F$135*1_Assumptions!$F$134)</f>
        <v>9557.15943142333</v>
      </c>
      <c r="S47" s="82" t="n">
        <f aca="false">S24*S32*1_Assumptions!$F$39*3*(1-1_Assumptions!$F$135*1_Assumptions!$F$134)+S25*S32*1_Assumptions!$F$46*3*(1-1_Assumptions!$F$135*1_Assumptions!$F$134)+S26*S32*1_Assumptions!$F$53*3*(1-1_Assumptions!$F$135*1_Assumptions!$F$134)</f>
        <v>12446.3790152343</v>
      </c>
      <c r="T47" s="82" t="n">
        <f aca="false">T24*T32*1_Assumptions!$F$39*3*(1-1_Assumptions!$F$135*1_Assumptions!$F$134)+T25*T32*1_Assumptions!$F$46*3*(1-1_Assumptions!$F$135*1_Assumptions!$F$134)+T26*T32*1_Assumptions!$F$53*3*(1-1_Assumptions!$F$135*1_Assumptions!$F$134)</f>
        <v>15912.5541137435</v>
      </c>
      <c r="U47" s="82" t="n">
        <f aca="false">U24*U32*1_Assumptions!$F$39*3*(1-1_Assumptions!$F$135*1_Assumptions!$F$134)+U25*U32*1_Assumptions!$F$46*3*(1-1_Assumptions!$F$135*1_Assumptions!$F$134)+U26*U32*1_Assumptions!$F$53*3*(1-1_Assumptions!$F$135*1_Assumptions!$F$134)</f>
        <v>20297.0130173196</v>
      </c>
      <c r="V47" s="82" t="n">
        <f aca="false">V24*V32*1_Assumptions!$F$39*3*(1-1_Assumptions!$F$135*1_Assumptions!$F$134)+V25*V32*1_Assumptions!$F$46*3*(1-1_Assumptions!$F$135*1_Assumptions!$F$134)+V26*V32*1_Assumptions!$F$53*3*(1-1_Assumptions!$F$135*1_Assumptions!$F$134)</f>
        <v>24419.8365403817</v>
      </c>
      <c r="W47" s="82" t="n">
        <f aca="false">W24*W32*1_Assumptions!$F$39*3*(1-1_Assumptions!$F$135*1_Assumptions!$F$134)+W25*W32*1_Assumptions!$F$46*3*(1-1_Assumptions!$F$135*1_Assumptions!$F$134)+W26*W32*1_Assumptions!$F$53*3*(1-1_Assumptions!$F$135*1_Assumptions!$F$134)</f>
        <v>28683.4007657388</v>
      </c>
      <c r="X47" s="82" t="n">
        <f aca="false">X24*X32*1_Assumptions!$F$39*3*(1-1_Assumptions!$F$135*1_Assumptions!$F$134)+X25*X32*1_Assumptions!$F$46*3*(1-1_Assumptions!$F$135*1_Assumptions!$F$134)+X26*X32*1_Assumptions!$F$53*3*(1-1_Assumptions!$F$135*1_Assumptions!$F$134)</f>
        <v>32514.8951862436</v>
      </c>
      <c r="Y47" s="82" t="n">
        <f aca="false">Y24*Y32*1_Assumptions!$F$39*3*(1-1_Assumptions!$F$135*1_Assumptions!$F$134)+Y25*Y32*1_Assumptions!$F$46*3*(1-1_Assumptions!$F$135*1_Assumptions!$F$134)+Y26*Y32*1_Assumptions!$F$53*3*(1-1_Assumptions!$F$135*1_Assumptions!$F$134)</f>
        <v>36660.4061793732</v>
      </c>
      <c r="Z47" s="82" t="n">
        <f aca="false">Z24*Z32*1_Assumptions!$F$39*3*(1-1_Assumptions!$F$135*1_Assumptions!$F$134)+Z25*Z32*1_Assumptions!$F$46*3*(1-1_Assumptions!$F$135*1_Assumptions!$F$134)+Z26*Z32*1_Assumptions!$F$53*3*(1-1_Assumptions!$F$135*1_Assumptions!$F$134)</f>
        <v>40830.7949891942</v>
      </c>
      <c r="AA47" s="82" t="n">
        <f aca="false">AA24*AA32*1_Assumptions!$F$39*3*(1-1_Assumptions!$F$135*1_Assumptions!$F$134)+AA25*AA32*1_Assumptions!$F$46*3*(1-1_Assumptions!$F$135*1_Assumptions!$F$134)+AA26*AA32*1_Assumptions!$F$53*3*(1-1_Assumptions!$F$135*1_Assumptions!$F$134)</f>
        <v>44708.8510459663</v>
      </c>
      <c r="AB47" s="82" t="n">
        <f aca="false">AB24*AB32*1_Assumptions!$F$39*3*(1-1_Assumptions!$F$135*1_Assumptions!$F$134)+AB25*AB32*1_Assumptions!$F$46*3*(1-1_Assumptions!$F$135*1_Assumptions!$F$134)+AB26*AB32*1_Assumptions!$F$53*3*(1-1_Assumptions!$F$135*1_Assumptions!$F$134)</f>
        <v>48737.8909768897</v>
      </c>
      <c r="AC47" s="82" t="n">
        <f aca="false">AC24*AC32*1_Assumptions!$F$39*3*(1-1_Assumptions!$F$135*1_Assumptions!$F$134)+AC25*AC32*1_Assumptions!$F$46*3*(1-1_Assumptions!$F$135*1_Assumptions!$F$134)+AC26*AC32*1_Assumptions!$F$53*3*(1-1_Assumptions!$F$135*1_Assumptions!$F$134)</f>
        <v>52840.5499737365</v>
      </c>
    </row>
    <row r="48" customFormat="false" ht="15" hidden="false" customHeight="true" outlineLevel="0" collapsed="false">
      <c r="A48" s="16"/>
      <c r="B48" s="17" t="s">
        <v>321</v>
      </c>
      <c r="C48" s="18" t="s">
        <v>311</v>
      </c>
      <c r="D48" s="16"/>
      <c r="E48" s="83" t="n">
        <v>0</v>
      </c>
      <c r="F48" s="83" t="n">
        <v>0</v>
      </c>
      <c r="G48" s="83" t="n">
        <v>0</v>
      </c>
      <c r="H48" s="83" t="n">
        <v>0</v>
      </c>
      <c r="I48" s="83" t="n">
        <v>0</v>
      </c>
      <c r="J48" s="83" t="n">
        <v>0</v>
      </c>
      <c r="K48" s="83" t="n">
        <v>0</v>
      </c>
      <c r="L48" s="83" t="n">
        <v>0</v>
      </c>
      <c r="M48" s="83" t="n">
        <v>0</v>
      </c>
      <c r="N48" s="84" t="n">
        <f aca="false">N24*N33*1_Assumptions!$F$40*3*(1-1_Assumptions!$F$135*1_Assumptions!$F$134)+N25*N33*1_Assumptions!$F$47*3*(1-1_Assumptions!$F$135*1_Assumptions!$F$134)+N26*N33*1_Assumptions!$F$54*3*(1-1_Assumptions!$F$135*1_Assumptions!$F$134)</f>
        <v>1221.12</v>
      </c>
      <c r="O48" s="84" t="n">
        <f aca="false">O24*O33*1_Assumptions!$F$40*3*(1-1_Assumptions!$F$135*1_Assumptions!$F$134)+O25*O33*1_Assumptions!$F$47*3*(1-1_Assumptions!$F$135*1_Assumptions!$F$134)+O26*O33*1_Assumptions!$F$54*3*(1-1_Assumptions!$F$135*1_Assumptions!$F$134)</f>
        <v>1974.49411764706</v>
      </c>
      <c r="P48" s="84" t="n">
        <f aca="false">P24*P33*1_Assumptions!$F$40*3*(1-1_Assumptions!$F$135*1_Assumptions!$F$134)+P25*P33*1_Assumptions!$F$47*3*(1-1_Assumptions!$F$135*1_Assumptions!$F$134)+P26*P33*1_Assumptions!$F$54*3*(1-1_Assumptions!$F$135*1_Assumptions!$F$134)</f>
        <v>3179.23174714662</v>
      </c>
      <c r="Q48" s="84" t="n">
        <f aca="false">Q24*Q33*1_Assumptions!$F$40*3*(1-1_Assumptions!$F$135*1_Assumptions!$F$134)+Q25*Q33*1_Assumptions!$F$47*3*(1-1_Assumptions!$F$135*1_Assumptions!$F$134)+Q26*Q33*1_Assumptions!$F$54*3*(1-1_Assumptions!$F$135*1_Assumptions!$F$134)</f>
        <v>4924.56025971374</v>
      </c>
      <c r="R48" s="84" t="n">
        <f aca="false">R24*R33*1_Assumptions!$F$40*3*(1-1_Assumptions!$F$135*1_Assumptions!$F$134)+R25*R33*1_Assumptions!$F$47*3*(1-1_Assumptions!$F$135*1_Assumptions!$F$134)+R26*R33*1_Assumptions!$F$54*3*(1-1_Assumptions!$F$135*1_Assumptions!$F$134)</f>
        <v>6832.06393657305</v>
      </c>
      <c r="S48" s="84" t="n">
        <f aca="false">S24*S33*1_Assumptions!$F$40*3*(1-1_Assumptions!$F$135*1_Assumptions!$F$134)+S25*S33*1_Assumptions!$F$47*3*(1-1_Assumptions!$F$135*1_Assumptions!$F$134)+S26*S33*1_Assumptions!$F$54*3*(1-1_Assumptions!$F$135*1_Assumptions!$F$134)</f>
        <v>9363.64288411029</v>
      </c>
      <c r="T48" s="84" t="n">
        <f aca="false">T24*T33*1_Assumptions!$F$40*3*(1-1_Assumptions!$F$135*1_Assumptions!$F$134)+T25*T33*1_Assumptions!$F$47*3*(1-1_Assumptions!$F$135*1_Assumptions!$F$134)+T26*T33*1_Assumptions!$F$54*3*(1-1_Assumptions!$F$135*1_Assumptions!$F$134)</f>
        <v>12483.6012017148</v>
      </c>
      <c r="U48" s="84" t="n">
        <f aca="false">U24*U33*1_Assumptions!$F$40*3*(1-1_Assumptions!$F$135*1_Assumptions!$F$134)+U25*U33*1_Assumptions!$F$47*3*(1-1_Assumptions!$F$135*1_Assumptions!$F$134)+U26*U33*1_Assumptions!$F$54*3*(1-1_Assumptions!$F$135*1_Assumptions!$F$134)</f>
        <v>16498.7896858552</v>
      </c>
      <c r="V48" s="84" t="n">
        <f aca="false">V24*V33*1_Assumptions!$F$40*3*(1-1_Assumptions!$F$135*1_Assumptions!$F$134)+V25*V33*1_Assumptions!$F$47*3*(1-1_Assumptions!$F$135*1_Assumptions!$F$134)+V26*V33*1_Assumptions!$F$54*3*(1-1_Assumptions!$F$135*1_Assumptions!$F$134)</f>
        <v>20400.1638051947</v>
      </c>
      <c r="W48" s="84" t="n">
        <f aca="false">W24*W33*1_Assumptions!$F$40*3*(1-1_Assumptions!$F$135*1_Assumptions!$F$134)+W25*W33*1_Assumptions!$F$47*3*(1-1_Assumptions!$F$135*1_Assumptions!$F$134)+W26*W33*1_Assumptions!$F$54*3*(1-1_Assumptions!$F$135*1_Assumptions!$F$134)</f>
        <v>24488.961672811</v>
      </c>
      <c r="X48" s="84" t="n">
        <f aca="false">X24*X33*1_Assumptions!$F$40*3*(1-1_Assumptions!$F$135*1_Assumptions!$F$134)+X25*X33*1_Assumptions!$F$47*3*(1-1_Assumptions!$F$135*1_Assumptions!$F$134)+X26*X33*1_Assumptions!$F$54*3*(1-1_Assumptions!$F$135*1_Assumptions!$F$134)</f>
        <v>28277.2331025633</v>
      </c>
      <c r="Y48" s="84" t="n">
        <f aca="false">Y24*Y33*1_Assumptions!$F$40*3*(1-1_Assumptions!$F$135*1_Assumptions!$F$134)+Y25*Y33*1_Assumptions!$F$47*3*(1-1_Assumptions!$F$135*1_Assumptions!$F$134)+Y26*Y33*1_Assumptions!$F$54*3*(1-1_Assumptions!$F$135*1_Assumptions!$F$134)</f>
        <v>32376.4251800478</v>
      </c>
      <c r="Z48" s="84" t="n">
        <f aca="false">Z24*Z33*1_Assumptions!$F$40*3*(1-1_Assumptions!$F$135*1_Assumptions!$F$134)+Z25*Z33*1_Assumptions!$F$47*3*(1-1_Assumptions!$F$135*1_Assumptions!$F$134)+Z26*Z33*1_Assumptions!$F$54*3*(1-1_Assumptions!$F$135*1_Assumptions!$F$134)</f>
        <v>36548.4137685811</v>
      </c>
      <c r="AA48" s="84" t="n">
        <f aca="false">AA24*AA33*1_Assumptions!$F$40*3*(1-1_Assumptions!$F$135*1_Assumptions!$F$134)+AA25*AA33*1_Assumptions!$F$47*3*(1-1_Assumptions!$F$135*1_Assumptions!$F$134)+AA26*AA33*1_Assumptions!$F$54*3*(1-1_Assumptions!$F$135*1_Assumptions!$F$134)</f>
        <v>40520.2985152636</v>
      </c>
      <c r="AB48" s="84" t="n">
        <f aca="false">AB24*AB33*1_Assumptions!$F$40*3*(1-1_Assumptions!$F$135*1_Assumptions!$F$134)+AB25*AB33*1_Assumptions!$F$47*3*(1-1_Assumptions!$F$135*1_Assumptions!$F$134)+AB26*AB33*1_Assumptions!$F$54*3*(1-1_Assumptions!$F$135*1_Assumptions!$F$134)</f>
        <v>44600.5471065438</v>
      </c>
      <c r="AC48" s="84" t="n">
        <f aca="false">AC24*AC33*1_Assumptions!$F$40*3*(1-1_Assumptions!$F$135*1_Assumptions!$F$134)+AC25*AC33*1_Assumptions!$F$47*3*(1-1_Assumptions!$F$135*1_Assumptions!$F$134)+AC26*AC33*1_Assumptions!$F$54*3*(1-1_Assumptions!$F$135*1_Assumptions!$F$134)</f>
        <v>48810.7640949651</v>
      </c>
    </row>
    <row r="49" customFormat="false" ht="15" hidden="false" customHeight="true" outlineLevel="0" collapsed="false">
      <c r="A49" s="21"/>
      <c r="B49" s="22" t="s">
        <v>322</v>
      </c>
      <c r="C49" s="23" t="s">
        <v>311</v>
      </c>
      <c r="D49" s="21"/>
      <c r="E49" s="85" t="n">
        <v>0</v>
      </c>
      <c r="F49" s="85" t="n">
        <v>0</v>
      </c>
      <c r="G49" s="85" t="n">
        <v>0</v>
      </c>
      <c r="H49" s="85" t="n">
        <v>0</v>
      </c>
      <c r="I49" s="85" t="n">
        <v>0</v>
      </c>
      <c r="J49" s="85" t="n">
        <v>0</v>
      </c>
      <c r="K49" s="85" t="n">
        <v>0</v>
      </c>
      <c r="L49" s="85" t="n">
        <v>0</v>
      </c>
      <c r="M49" s="85" t="n">
        <v>0</v>
      </c>
      <c r="N49" s="85" t="n">
        <v>0</v>
      </c>
      <c r="O49" s="82" t="n">
        <f aca="false">O24*O34*1_Assumptions!$F$41*3*(1-1_Assumptions!$F$135*1_Assumptions!$F$134)+O25*O34*1_Assumptions!$F$48*3*(1-1_Assumptions!$F$135*1_Assumptions!$F$134)+O26*O34*1_Assumptions!$F$55*3*(1-1_Assumptions!$F$135*1_Assumptions!$F$134)</f>
        <v>3386.88</v>
      </c>
      <c r="P49" s="82" t="n">
        <f aca="false">P24*P34*1_Assumptions!$F$41*3*(1-1_Assumptions!$F$135*1_Assumptions!$F$134)+P25*P34*1_Assumptions!$F$48*3*(1-1_Assumptions!$F$135*1_Assumptions!$F$134)+P26*P34*1_Assumptions!$F$55*3*(1-1_Assumptions!$F$135*1_Assumptions!$F$134)</f>
        <v>5233.73373134328</v>
      </c>
      <c r="Q49" s="82" t="n">
        <f aca="false">Q24*Q34*1_Assumptions!$F$41*3*(1-1_Assumptions!$F$135*1_Assumptions!$F$134)+Q25*Q34*1_Assumptions!$F$48*3*(1-1_Assumptions!$F$135*1_Assumptions!$F$134)+Q26*Q34*1_Assumptions!$F$55*3*(1-1_Assumptions!$F$135*1_Assumptions!$F$134)</f>
        <v>7870.98801804929</v>
      </c>
      <c r="R49" s="82" t="n">
        <f aca="false">R24*R34*1_Assumptions!$F$41*3*(1-1_Assumptions!$F$135*1_Assumptions!$F$134)+R25*R34*1_Assumptions!$F$48*3*(1-1_Assumptions!$F$135*1_Assumptions!$F$134)+R26*R34*1_Assumptions!$F$55*3*(1-1_Assumptions!$F$135*1_Assumptions!$F$134)</f>
        <v>10720.3558849758</v>
      </c>
      <c r="S49" s="82" t="n">
        <f aca="false">S24*S34*1_Assumptions!$F$41*3*(1-1_Assumptions!$F$135*1_Assumptions!$F$134)+S25*S34*1_Assumptions!$F$48*3*(1-1_Assumptions!$F$135*1_Assumptions!$F$134)+S26*S34*1_Assumptions!$F$55*3*(1-1_Assumptions!$F$135*1_Assumptions!$F$134)</f>
        <v>14458.334628022</v>
      </c>
      <c r="T49" s="82" t="n">
        <f aca="false">T24*T34*1_Assumptions!$F$41*3*(1-1_Assumptions!$F$135*1_Assumptions!$F$134)+T25*T34*1_Assumptions!$F$48*3*(1-1_Assumptions!$F$135*1_Assumptions!$F$134)+T26*T34*1_Assumptions!$F$55*3*(1-1_Assumptions!$F$135*1_Assumptions!$F$134)</f>
        <v>19032.4406663481</v>
      </c>
      <c r="U49" s="82" t="n">
        <f aca="false">U24*U34*1_Assumptions!$F$41*3*(1-1_Assumptions!$F$135*1_Assumptions!$F$134)+U25*U34*1_Assumptions!$F$48*3*(1-1_Assumptions!$F$135*1_Assumptions!$F$134)+U26*U34*1_Assumptions!$F$55*3*(1-1_Assumptions!$F$135*1_Assumptions!$F$134)</f>
        <v>24900.2746626299</v>
      </c>
      <c r="V49" s="82" t="n">
        <f aca="false">V24*V34*1_Assumptions!$F$41*3*(1-1_Assumptions!$F$135*1_Assumptions!$F$134)+V25*V34*1_Assumptions!$F$48*3*(1-1_Assumptions!$F$135*1_Assumptions!$F$134)+V26*V34*1_Assumptions!$F$55*3*(1-1_Assumptions!$F$135*1_Assumptions!$F$134)</f>
        <v>30542.425369089</v>
      </c>
      <c r="W49" s="82" t="n">
        <f aca="false">W24*W34*1_Assumptions!$F$41*3*(1-1_Assumptions!$F$135*1_Assumptions!$F$134)+W25*W34*1_Assumptions!$F$48*3*(1-1_Assumptions!$F$135*1_Assumptions!$F$134)+W26*W34*1_Assumptions!$F$55*3*(1-1_Assumptions!$F$135*1_Assumptions!$F$134)</f>
        <v>36434.5079221136</v>
      </c>
      <c r="X49" s="82" t="n">
        <f aca="false">X24*X34*1_Assumptions!$F$41*3*(1-1_Assumptions!$F$135*1_Assumptions!$F$134)+X25*X34*1_Assumptions!$F$48*3*(1-1_Assumptions!$F$135*1_Assumptions!$F$134)+X26*X34*1_Assumptions!$F$55*3*(1-1_Assumptions!$F$135*1_Assumptions!$F$134)</f>
        <v>41846.0688756904</v>
      </c>
      <c r="Y49" s="82" t="n">
        <f aca="false">Y24*Y34*1_Assumptions!$F$41*3*(1-1_Assumptions!$F$135*1_Assumptions!$F$134)+Y25*Y34*1_Assumptions!$F$48*3*(1-1_Assumptions!$F$135*1_Assumptions!$F$134)+Y26*Y34*1_Assumptions!$F$55*3*(1-1_Assumptions!$F$135*1_Assumptions!$F$134)</f>
        <v>47721.7224609439</v>
      </c>
      <c r="Z49" s="82" t="n">
        <f aca="false">Z24*Z34*1_Assumptions!$F$41*3*(1-1_Assumptions!$F$135*1_Assumptions!$F$134)+Z25*Z34*1_Assumptions!$F$48*3*(1-1_Assumptions!$F$135*1_Assumptions!$F$134)+Z26*Z34*1_Assumptions!$F$55*3*(1-1_Assumptions!$F$135*1_Assumptions!$F$134)</f>
        <v>53692.8224254076</v>
      </c>
      <c r="AA49" s="82" t="n">
        <f aca="false">AA24*AA34*1_Assumptions!$F$41*3*(1-1_Assumptions!$F$135*1_Assumptions!$F$134)+AA25*AA34*1_Assumptions!$F$48*3*(1-1_Assumptions!$F$135*1_Assumptions!$F$134)+AA26*AA34*1_Assumptions!$F$55*3*(1-1_Assumptions!$F$135*1_Assumptions!$F$134)</f>
        <v>59341.523727232</v>
      </c>
      <c r="AB49" s="82" t="n">
        <f aca="false">AB24*AB34*1_Assumptions!$F$41*3*(1-1_Assumptions!$F$135*1_Assumptions!$F$134)+AB25*AB34*1_Assumptions!$F$48*3*(1-1_Assumptions!$F$135*1_Assumptions!$F$134)+AB26*AB34*1_Assumptions!$F$55*3*(1-1_Assumptions!$F$135*1_Assumptions!$F$134)</f>
        <v>65150.5450190276</v>
      </c>
      <c r="AC49" s="82" t="n">
        <f aca="false">AC24*AC34*1_Assumptions!$F$41*3*(1-1_Assumptions!$F$135*1_Assumptions!$F$134)+AC25*AC34*1_Assumptions!$F$48*3*(1-1_Assumptions!$F$135*1_Assumptions!$F$134)+AC26*AC34*1_Assumptions!$F$55*3*(1-1_Assumptions!$F$135*1_Assumptions!$F$134)</f>
        <v>71150.5637255788</v>
      </c>
    </row>
    <row r="50" customFormat="false" ht="15" hidden="false" customHeight="true" outlineLevel="0" collapsed="false">
      <c r="A50" s="16"/>
      <c r="B50" s="17" t="s">
        <v>323</v>
      </c>
      <c r="C50" s="18" t="s">
        <v>311</v>
      </c>
      <c r="D50" s="16"/>
      <c r="E50" s="84" t="n">
        <f aca="false">E45+E46+E47+E48+E49</f>
        <v>1486.08</v>
      </c>
      <c r="F50" s="84" t="n">
        <f aca="false">F45+F46+F47+F48+F49</f>
        <v>1685.76</v>
      </c>
      <c r="G50" s="84" t="n">
        <f aca="false">G45+G46+G47+G48+G49</f>
        <v>2173.44</v>
      </c>
      <c r="H50" s="84" t="n">
        <f aca="false">H45+H46+H47+H48+H49</f>
        <v>3006.72</v>
      </c>
      <c r="I50" s="84" t="n">
        <f aca="false">I45+I46+I47+I48+I49</f>
        <v>4441.68</v>
      </c>
      <c r="J50" s="84" t="n">
        <f aca="false">J45+J46+J47+J48+J49</f>
        <v>5325.1452631579</v>
      </c>
      <c r="K50" s="84" t="n">
        <f aca="false">K45+K46+K47+K48+K49</f>
        <v>5864.57684210526</v>
      </c>
      <c r="L50" s="84" t="n">
        <f aca="false">L45+L46+L47+L48+L49</f>
        <v>7430.4</v>
      </c>
      <c r="M50" s="84" t="n">
        <f aca="false">M45+M46+M47+M48+M49</f>
        <v>8366.73684210526</v>
      </c>
      <c r="N50" s="84" t="n">
        <f aca="false">N45+N46+N47+N48+N49</f>
        <v>41330.9754385965</v>
      </c>
      <c r="O50" s="84" t="n">
        <f aca="false">O45+O46+O47+O48+O49</f>
        <v>58249.826873065</v>
      </c>
      <c r="P50" s="84" t="n">
        <f aca="false">P45+P46+P47+P48+P49</f>
        <v>79292.0826332733</v>
      </c>
      <c r="Q50" s="84" t="n">
        <f aca="false">Q45+Q46+Q47+Q48+Q49</f>
        <v>106406.201835634</v>
      </c>
      <c r="R50" s="84" t="n">
        <f aca="false">R45+R46+R47+R48+R49</f>
        <v>133500.422595008</v>
      </c>
      <c r="S50" s="84" t="n">
        <f aca="false">S45+S46+S47+S48+S49</f>
        <v>167651.070474117</v>
      </c>
      <c r="T50" s="84" t="n">
        <f aca="false">T45+T46+T47+T48+T49</f>
        <v>206964.154924258</v>
      </c>
      <c r="U50" s="84" t="n">
        <f aca="false">U45+U46+U47+U48+U49</f>
        <v>255705.340250365</v>
      </c>
      <c r="V50" s="84" t="n">
        <f aca="false">V45+V46+V47+V48+V49</f>
        <v>300199.198971881</v>
      </c>
      <c r="W50" s="84" t="n">
        <f aca="false">W45+W46+W47+W48+W49</f>
        <v>345495.728477599</v>
      </c>
      <c r="X50" s="84" t="n">
        <f aca="false">X45+X46+X47+X48+X49</f>
        <v>385024.749000045</v>
      </c>
      <c r="Y50" s="84" t="n">
        <f aca="false">Y45+Y46+Y47+Y48+Y49</f>
        <v>427102.148628001</v>
      </c>
      <c r="Z50" s="84" t="n">
        <f aca="false">Z45+Z46+Z47+Z48+Z49</f>
        <v>468774.528039568</v>
      </c>
      <c r="AA50" s="84" t="n">
        <f aca="false">AA45+AA46+AA47+AA48+AA49</f>
        <v>506934.743590339</v>
      </c>
      <c r="AB50" s="84" t="n">
        <f aca="false">AB45+AB46+AB47+AB48+AB49</f>
        <v>545996.675327094</v>
      </c>
      <c r="AC50" s="84" t="n">
        <f aca="false">AC45+AC46+AC47+AC48+AC49</f>
        <v>585290.361420918</v>
      </c>
    </row>
    <row r="52" customFormat="false" ht="15" hidden="false" customHeight="true" outlineLevel="0" collapsed="false">
      <c r="A52" s="27"/>
      <c r="B52" s="28" t="s">
        <v>324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customFormat="false" ht="15" hidden="false" customHeight="true" outlineLevel="0" collapsed="false">
      <c r="A53" s="21"/>
      <c r="B53" s="22" t="s">
        <v>325</v>
      </c>
      <c r="C53" s="23" t="s">
        <v>311</v>
      </c>
      <c r="D53" s="21"/>
      <c r="E53" s="82" t="n">
        <f aca="false">E24*MIN(1_Assumptions!$F$58*(1+1_Assumptions!$F$64)^(1-1),1_Assumptions!$F$69)*1_Assumptions!$F$61*1*(1+(E31+E32+E33+E34)*1_Assumptions!$F$67)</f>
        <v>5280</v>
      </c>
      <c r="F53" s="82" t="n">
        <f aca="false">F24*MIN(1_Assumptions!$F$58*(1+1_Assumptions!$F$64)^(2-1),1_Assumptions!$F$69)*1_Assumptions!$F$61*1*(1+(F31+F32+F33+F34)*1_Assumptions!$F$67)</f>
        <v>6252.4</v>
      </c>
      <c r="G53" s="82" t="n">
        <f aca="false">G24*MIN(1_Assumptions!$F$58*(1+1_Assumptions!$F$64)^(3-1),1_Assumptions!$F$69)*1_Assumptions!$F$61*1*(1+(G31+G32+G33+G34)*1_Assumptions!$F$67)</f>
        <v>7252.784</v>
      </c>
      <c r="H53" s="82" t="n">
        <f aca="false">H24*MIN(1_Assumptions!$F$58*(1+1_Assumptions!$F$64)^(4-1),1_Assumptions!$F$69)*1_Assumptions!$F$61*1*(1+(H31+H32+H33+H34)*1_Assumptions!$F$67)</f>
        <v>8468.112616425</v>
      </c>
      <c r="I53" s="82" t="n">
        <f aca="false">I24*MIN(1_Assumptions!$F$58*(1+1_Assumptions!$F$64)^(5-1),1_Assumptions!$F$69)*1_Assumptions!$F$61*1*(1+(I31+I32+I33+I34)*1_Assumptions!$F$67)</f>
        <v>10543.6916482638</v>
      </c>
      <c r="J53" s="82" t="n">
        <f aca="false">J24*MIN(1_Assumptions!$F$58*(1+1_Assumptions!$F$64)^(6-1),1_Assumptions!$F$69)*1_Assumptions!$F$61*1*(1+(J31+J32+J33+J34)*1_Assumptions!$F$67)</f>
        <v>12686.555692923</v>
      </c>
      <c r="K53" s="82" t="n">
        <f aca="false">K24*MIN(1_Assumptions!$F$58*(1+1_Assumptions!$F$64)^(7-1),1_Assumptions!$F$69)*1_Assumptions!$F$61*1*(1+(K31+K32+K33+K34)*1_Assumptions!$F$67)</f>
        <v>14089.6564079586</v>
      </c>
      <c r="L53" s="82" t="n">
        <f aca="false">L24*MIN(1_Assumptions!$F$58*(1+1_Assumptions!$F$64)^(8-1),1_Assumptions!$F$69)*1_Assumptions!$F$61*1*(1+(L31+L32+L33+L34)*1_Assumptions!$F$67)</f>
        <v>16383.0679741661</v>
      </c>
      <c r="M53" s="82" t="n">
        <f aca="false">M24*MIN(1_Assumptions!$F$58*(1+1_Assumptions!$F$64)^(9-1),1_Assumptions!$F$69)*1_Assumptions!$F$61*1*(1+(M31+M32+M33+M34)*1_Assumptions!$F$67)</f>
        <v>18747.068282049</v>
      </c>
      <c r="N53" s="82" t="n">
        <f aca="false">N24*MIN(1_Assumptions!$F$58*(1+1_Assumptions!$F$64)^(10-1),1_Assumptions!$F$69)*1_Assumptions!$F$61*3*(1+(N31+N32+N33+N34)*1_Assumptions!$F$67)</f>
        <v>77091.1072744722</v>
      </c>
      <c r="O53" s="82" t="n">
        <f aca="false">O24*MIN(1_Assumptions!$F$58*(1+1_Assumptions!$F$64)^(13-1),1_Assumptions!$F$69)*1_Assumptions!$F$61*3*(1+(O31+O32+O33+O34)*1_Assumptions!$F$67)</f>
        <v>102403.260903554</v>
      </c>
      <c r="P53" s="82" t="n">
        <f aca="false">P24*MIN(1_Assumptions!$F$58*(1+1_Assumptions!$F$64)^(16-1),1_Assumptions!$F$69)*1_Assumptions!$F$61*3*(1+(P31+P32+P33+P34)*1_Assumptions!$F$67)</f>
        <v>140242.614250462</v>
      </c>
      <c r="Q53" s="82" t="n">
        <f aca="false">Q24*MIN(1_Assumptions!$F$58*(1+1_Assumptions!$F$64)^(19-1),1_Assumptions!$F$69)*1_Assumptions!$F$61*3*(1+(Q31+Q32+Q33+Q34)*1_Assumptions!$F$67)</f>
        <v>185666.759939891</v>
      </c>
      <c r="R53" s="82" t="n">
        <f aca="false">R24*MIN(1_Assumptions!$F$58*(1+1_Assumptions!$F$64)^(22-1),1_Assumptions!$F$69)*1_Assumptions!$F$61*3*(1+(R31+R32+R33+R34)*1_Assumptions!$F$67)</f>
        <v>231256.665793013</v>
      </c>
      <c r="S53" s="82" t="n">
        <f aca="false">S24*MIN(1_Assumptions!$F$58*(1+1_Assumptions!$F$64)^(25-1),1_Assumptions!$F$69)*1_Assumptions!$F$61*3*(1+(S31+S32+S33+S34)*1_Assumptions!$F$67)</f>
        <v>293723.924070088</v>
      </c>
      <c r="T53" s="82" t="n">
        <f aca="false">T24*MIN(1_Assumptions!$F$58*(1+1_Assumptions!$F$64)^(28-1),1_Assumptions!$F$69)*1_Assumptions!$F$61*3*(1+(T31+T32+T33+T34)*1_Assumptions!$F$67)</f>
        <v>366508.443927609</v>
      </c>
      <c r="U53" s="82" t="n">
        <f aca="false">U24*MIN(1_Assumptions!$F$58*(1+1_Assumptions!$F$64)^(31-1),1_Assumptions!$F$69)*1_Assumptions!$F$61*3*(1+(U31+U32+U33+U34)*1_Assumptions!$F$67)</f>
        <v>455311.687063561</v>
      </c>
      <c r="V53" s="82" t="n">
        <f aca="false">V24*MIN(1_Assumptions!$F$58*(1+1_Assumptions!$F$64)^(34-1),1_Assumptions!$F$69)*1_Assumptions!$F$61*3*(1+(V31+V32+V33+V34)*1_Assumptions!$F$67)</f>
        <v>547038.811033839</v>
      </c>
      <c r="W53" s="82" t="n">
        <f aca="false">W24*MIN(1_Assumptions!$F$58*(1+1_Assumptions!$F$64)^(37-1),1_Assumptions!$F$69)*1_Assumptions!$F$61*3*(1+(W31+W32+W33+W34)*1_Assumptions!$F$67)</f>
        <v>646565.349152113</v>
      </c>
      <c r="X53" s="82" t="n">
        <f aca="false">X24*MIN(1_Assumptions!$F$58*(1+1_Assumptions!$F$64)^(40-1),1_Assumptions!$F$69)*1_Assumptions!$F$61*3*(1+(X31+X32+X33+X34)*1_Assumptions!$F$67)</f>
        <v>743657.416518392</v>
      </c>
      <c r="Y53" s="82" t="n">
        <f aca="false">Y24*MIN(1_Assumptions!$F$58*(1+1_Assumptions!$F$64)^(43-1),1_Assumptions!$F$69)*1_Assumptions!$F$61*3*(1+(Y31+Y32+Y33+Y34)*1_Assumptions!$F$67)</f>
        <v>842895.820260323</v>
      </c>
      <c r="Z53" s="82" t="n">
        <f aca="false">Z24*MIN(1_Assumptions!$F$58*(1+1_Assumptions!$F$64)^(46-1),1_Assumptions!$F$69)*1_Assumptions!$F$61*3*(1+(Z31+Z32+Z33+Z34)*1_Assumptions!$F$67)</f>
        <v>943952.08474018</v>
      </c>
      <c r="AA53" s="82" t="n">
        <f aca="false">AA24*MIN(1_Assumptions!$F$58*(1+1_Assumptions!$F$64)^(49-1),1_Assumptions!$F$69)*1_Assumptions!$F$61*3*(1+(AA31+AA32+AA33+AA34)*1_Assumptions!$F$67)</f>
        <v>1024201.51134729</v>
      </c>
      <c r="AB53" s="82" t="n">
        <f aca="false">AB24*MIN(1_Assumptions!$F$58*(1+1_Assumptions!$F$64)^(52-1),1_Assumptions!$F$69)*1_Assumptions!$F$61*3*(1+(AB31+AB32+AB33+AB34)*1_Assumptions!$F$67)</f>
        <v>1088608.32423203</v>
      </c>
      <c r="AC53" s="82" t="n">
        <f aca="false">AC24*MIN(1_Assumptions!$F$58*(1+1_Assumptions!$F$64)^(55-1),1_Assumptions!$F$69)*1_Assumptions!$F$61*3*(1+(AC31+AC32+AC33+AC34)*1_Assumptions!$F$67)</f>
        <v>1140943.41377872</v>
      </c>
    </row>
    <row r="54" customFormat="false" ht="15" hidden="false" customHeight="true" outlineLevel="0" collapsed="false">
      <c r="A54" s="16"/>
      <c r="B54" s="17" t="s">
        <v>326</v>
      </c>
      <c r="C54" s="18" t="s">
        <v>311</v>
      </c>
      <c r="D54" s="16"/>
      <c r="E54" s="84" t="n">
        <f aca="false">E25*MIN(1_Assumptions!$F$59*(1+1_Assumptions!$F$65)^(1-1),1_Assumptions!$F$70)*1_Assumptions!$F$62*1*(1+(E31+E32+E33+E34)*1_Assumptions!$F$67)</f>
        <v>5850</v>
      </c>
      <c r="F54" s="84" t="n">
        <f aca="false">F25*MIN(1_Assumptions!$F$59*(1+1_Assumptions!$F$65)^(2-1),1_Assumptions!$F$70)*1_Assumptions!$F$62*1*(1+(F31+F32+F33+F34)*1_Assumptions!$F$67)</f>
        <v>6025.5</v>
      </c>
      <c r="G54" s="84" t="n">
        <f aca="false">G25*MIN(1_Assumptions!$F$59*(1+1_Assumptions!$F$65)^(3-1),1_Assumptions!$F$70)*1_Assumptions!$F$62*1*(1+(G31+G32+G33+G34)*1_Assumptions!$F$67)</f>
        <v>12412.53</v>
      </c>
      <c r="H54" s="84" t="n">
        <f aca="false">H25*MIN(1_Assumptions!$F$59*(1+1_Assumptions!$F$65)^(4-1),1_Assumptions!$F$70)*1_Assumptions!$F$62*1*(1+(H31+H32+H33+H34)*1_Assumptions!$F$67)</f>
        <v>19608.849424125</v>
      </c>
      <c r="I54" s="84" t="n">
        <f aca="false">I25*MIN(1_Assumptions!$F$59*(1+1_Assumptions!$F$65)^(5-1),1_Assumptions!$F$70)*1_Assumptions!$F$62*1*(1+(I31+I32+I33+I34)*1_Assumptions!$F$67)</f>
        <v>27028.2499405425</v>
      </c>
      <c r="J54" s="84" t="n">
        <f aca="false">J25*MIN(1_Assumptions!$F$59*(1+1_Assumptions!$F$65)^(6-1),1_Assumptions!$F$70)*1_Assumptions!$F$62*1*(1+(J31+J32+J33+J34)*1_Assumptions!$F$67)</f>
        <v>34905.9521142588</v>
      </c>
      <c r="K54" s="84" t="n">
        <f aca="false">K25*MIN(1_Assumptions!$F$59*(1+1_Assumptions!$F$65)^(7-1),1_Assumptions!$F$70)*1_Assumptions!$F$62*1*(1+(K31+K32+K33+K34)*1_Assumptions!$F$67)</f>
        <v>36529.4101672989</v>
      </c>
      <c r="L54" s="84" t="n">
        <f aca="false">L25*MIN(1_Assumptions!$F$59*(1+1_Assumptions!$F$65)^(8-1),1_Assumptions!$F$70)*1_Assumptions!$F$62*1*(1+(L31+L32+L33+L34)*1_Assumptions!$F$67)</f>
        <v>45258.2723984725</v>
      </c>
      <c r="M54" s="84" t="n">
        <f aca="false">M25*MIN(1_Assumptions!$F$59*(1+1_Assumptions!$F$65)^(9-1),1_Assumptions!$F$70)*1_Assumptions!$F$62*1*(1+(M31+M32+M33+M34)*1_Assumptions!$F$67)</f>
        <v>54500.6334095707</v>
      </c>
      <c r="N54" s="84" t="n">
        <f aca="false">N25*MIN(1_Assumptions!$F$59*(1+1_Assumptions!$F$65)^(10-1),1_Assumptions!$F$70)*1_Assumptions!$F$62*3*(1+(N31+N32+N33+N34)*1_Assumptions!$F$67)</f>
        <v>292407.241614214</v>
      </c>
      <c r="O54" s="84" t="n">
        <f aca="false">O25*MIN(1_Assumptions!$F$59*(1+1_Assumptions!$F$65)^(13-1),1_Assumptions!$F$70)*1_Assumptions!$F$62*3*(1+(O31+O32+O33+O34)*1_Assumptions!$F$67)</f>
        <v>405892.637926448</v>
      </c>
      <c r="P54" s="84" t="n">
        <f aca="false">P25*MIN(1_Assumptions!$F$59*(1+1_Assumptions!$F$65)^(16-1),1_Assumptions!$F$70)*1_Assumptions!$F$62*3*(1+(P31+P32+P33+P34)*1_Assumptions!$F$67)</f>
        <v>595780.546146434</v>
      </c>
      <c r="Q54" s="84" t="n">
        <f aca="false">Q25*MIN(1_Assumptions!$F$59*(1+1_Assumptions!$F$65)^(19-1),1_Assumptions!$F$70)*1_Assumptions!$F$62*3*(1+(Q31+Q32+Q33+Q34)*1_Assumptions!$F$67)</f>
        <v>834919.510147217</v>
      </c>
      <c r="R54" s="84" t="n">
        <f aca="false">R25*MIN(1_Assumptions!$F$59*(1+1_Assumptions!$F$65)^(22-1),1_Assumptions!$F$70)*1_Assumptions!$F$62*3*(1+(R31+R32+R33+R34)*1_Assumptions!$F$67)</f>
        <v>1034073.24325811</v>
      </c>
      <c r="S54" s="84" t="n">
        <f aca="false">S25*MIN(1_Assumptions!$F$59*(1+1_Assumptions!$F$65)^(25-1),1_Assumptions!$F$70)*1_Assumptions!$F$62*3*(1+(S31+S32+S33+S34)*1_Assumptions!$F$67)</f>
        <v>1300882.89265532</v>
      </c>
      <c r="T54" s="84" t="n">
        <f aca="false">T25*MIN(1_Assumptions!$F$59*(1+1_Assumptions!$F$65)^(28-1),1_Assumptions!$F$70)*1_Assumptions!$F$62*3*(1+(T31+T32+T33+T34)*1_Assumptions!$F$67)</f>
        <v>1571035.26066007</v>
      </c>
      <c r="U54" s="84" t="n">
        <f aca="false">U25*MIN(1_Assumptions!$F$59*(1+1_Assumptions!$F$65)^(31-1),1_Assumptions!$F$70)*1_Assumptions!$F$62*3*(1+(U31+U32+U33+U34)*1_Assumptions!$F$67)</f>
        <v>1910079.27329758</v>
      </c>
      <c r="V54" s="84" t="n">
        <f aca="false">V25*MIN(1_Assumptions!$F$59*(1+1_Assumptions!$F$65)^(34-1),1_Assumptions!$F$70)*1_Assumptions!$F$62*3*(1+(V31+V32+V33+V34)*1_Assumptions!$F$67)</f>
        <v>2218285.64543689</v>
      </c>
      <c r="W54" s="84" t="n">
        <f aca="false">W25*MIN(1_Assumptions!$F$59*(1+1_Assumptions!$F$65)^(37-1),1_Assumptions!$F$70)*1_Assumptions!$F$62*3*(1+(W31+W32+W33+W34)*1_Assumptions!$F$67)</f>
        <v>2528132.87354896</v>
      </c>
      <c r="X54" s="84" t="n">
        <f aca="false">X25*MIN(1_Assumptions!$F$59*(1+1_Assumptions!$F$65)^(40-1),1_Assumptions!$F$70)*1_Assumptions!$F$62*3*(1+(X31+X32+X33+X34)*1_Assumptions!$F$67)</f>
        <v>2806205.09636919</v>
      </c>
      <c r="Y54" s="84" t="n">
        <f aca="false">Y25*MIN(1_Assumptions!$F$59*(1+1_Assumptions!$F$65)^(43-1),1_Assumptions!$F$70)*1_Assumptions!$F$62*3*(1+(Y31+Y32+Y33+Y34)*1_Assumptions!$F$67)</f>
        <v>3085486.3416161</v>
      </c>
      <c r="Z54" s="84" t="n">
        <f aca="false">Z25*MIN(1_Assumptions!$F$59*(1+1_Assumptions!$F$65)^(46-1),1_Assumptions!$F$70)*1_Assumptions!$F$62*3*(1+(Z31+Z32+Z33+Z34)*1_Assumptions!$F$67)</f>
        <v>3365912.85701979</v>
      </c>
      <c r="AA54" s="84" t="n">
        <f aca="false">AA25*MIN(1_Assumptions!$F$59*(1+1_Assumptions!$F$65)^(49-1),1_Assumptions!$F$70)*1_Assumptions!$F$62*3*(1+(AA31+AA32+AA33+AA34)*1_Assumptions!$F$67)</f>
        <v>3647470.88558138</v>
      </c>
      <c r="AB54" s="84" t="n">
        <f aca="false">AB25*MIN(1_Assumptions!$F$59*(1+1_Assumptions!$F$65)^(52-1),1_Assumptions!$F$70)*1_Assumptions!$F$62*3*(1+(AB31+AB32+AB33+AB34)*1_Assumptions!$F$67)</f>
        <v>3862321.73258396</v>
      </c>
      <c r="AC54" s="84" t="n">
        <f aca="false">AC25*MIN(1_Assumptions!$F$59*(1+1_Assumptions!$F$65)^(55-1),1_Assumptions!$F$70)*1_Assumptions!$F$62*3*(1+(AC31+AC32+AC33+AC34)*1_Assumptions!$F$67)</f>
        <v>4111766.83897069</v>
      </c>
    </row>
    <row r="55" customFormat="false" ht="15" hidden="false" customHeight="true" outlineLevel="0" collapsed="false">
      <c r="A55" s="21"/>
      <c r="B55" s="22" t="s">
        <v>327</v>
      </c>
      <c r="C55" s="23" t="s">
        <v>311</v>
      </c>
      <c r="D55" s="21"/>
      <c r="E55" s="82" t="n">
        <f aca="false">E26*MIN(1_Assumptions!$F$60*(1+1_Assumptions!$F$66)^(1-1),1_Assumptions!$F$71)*1_Assumptions!$F$63*1*(1+(E31+E32+E33+E34)*1_Assumptions!$F$67)</f>
        <v>0</v>
      </c>
      <c r="F55" s="82" t="n">
        <f aca="false">F26*MIN(1_Assumptions!$F$60*(1+1_Assumptions!$F$66)^(2-1),1_Assumptions!$F$71)*1_Assumptions!$F$63*1*(1+(F31+F32+F33+F34)*1_Assumptions!$F$67)</f>
        <v>0</v>
      </c>
      <c r="G55" s="82" t="n">
        <f aca="false">G26*MIN(1_Assumptions!$F$60*(1+1_Assumptions!$F$66)^(3-1),1_Assumptions!$F$71)*1_Assumptions!$F$63*1*(1+(G31+G32+G33+G34)*1_Assumptions!$F$67)</f>
        <v>0</v>
      </c>
      <c r="H55" s="82" t="n">
        <f aca="false">H26*MIN(1_Assumptions!$F$60*(1+1_Assumptions!$F$66)^(4-1),1_Assumptions!$F$71)*1_Assumptions!$F$63*1*(1+(H31+H32+H33+H34)*1_Assumptions!$F$67)</f>
        <v>0</v>
      </c>
      <c r="I55" s="82" t="n">
        <f aca="false">I26*MIN(1_Assumptions!$F$60*(1+1_Assumptions!$F$66)^(5-1),1_Assumptions!$F$71)*1_Assumptions!$F$63*1*(1+(I31+I32+I33+I34)*1_Assumptions!$F$67)</f>
        <v>11748.6932533575</v>
      </c>
      <c r="J55" s="82" t="n">
        <f aca="false">J26*MIN(1_Assumptions!$F$60*(1+1_Assumptions!$F$66)^(6-1),1_Assumptions!$F$71)*1_Assumptions!$F$63*1*(1+(J31+J32+J33+J34)*1_Assumptions!$F$67)</f>
        <v>12315.1634390264</v>
      </c>
      <c r="K55" s="82" t="n">
        <f aca="false">K26*MIN(1_Assumptions!$F$60*(1+1_Assumptions!$F$66)^(7-1),1_Assumptions!$F$71)*1_Assumptions!$F$63*1*(1+(K31+K32+K33+K34)*1_Assumptions!$F$67)</f>
        <v>13075.6237975584</v>
      </c>
      <c r="L55" s="82" t="n">
        <f aca="false">L26*MIN(1_Assumptions!$F$60*(1+1_Assumptions!$F$66)^(8-1),1_Assumptions!$F$71)*1_Assumptions!$F$63*1*(1+(L31+L32+L33+L34)*1_Assumptions!$F$67)</f>
        <v>27393.3751047594</v>
      </c>
      <c r="M55" s="82" t="n">
        <f aca="false">M26*MIN(1_Assumptions!$F$60*(1+1_Assumptions!$F$66)^(9-1),1_Assumptions!$F$71)*1_Assumptions!$F$63*1*(1+(M31+M32+M33+M34)*1_Assumptions!$F$67)</f>
        <v>28686.753277288</v>
      </c>
      <c r="N55" s="82" t="n">
        <f aca="false">N26*MIN(1_Assumptions!$F$60*(1+1_Assumptions!$F$66)^(10-1),1_Assumptions!$F$71)*1_Assumptions!$F$63*3*(1+(N31+N32+N33+N34)*1_Assumptions!$F$67)</f>
        <v>182177.118210968</v>
      </c>
      <c r="O55" s="82" t="n">
        <f aca="false">O26*MIN(1_Assumptions!$F$60*(1+1_Assumptions!$F$66)^(13-1),1_Assumptions!$F$71)*1_Assumptions!$F$63*3*(1+(O31+O32+O33+O34)*1_Assumptions!$F$67)</f>
        <v>311450.179566563</v>
      </c>
      <c r="P55" s="82" t="n">
        <f aca="false">P26*MIN(1_Assumptions!$F$60*(1+1_Assumptions!$F$66)^(16-1),1_Assumptions!$F$71)*1_Assumptions!$F$63*3*(1+(P31+P32+P33+P34)*1_Assumptions!$F$67)</f>
        <v>418361.831461886</v>
      </c>
      <c r="Q55" s="82" t="n">
        <f aca="false">Q26*MIN(1_Assumptions!$F$60*(1+1_Assumptions!$F$66)^(19-1),1_Assumptions!$F$71)*1_Assumptions!$F$63*3*(1+(Q31+Q32+Q33+Q34)*1_Assumptions!$F$67)</f>
        <v>579667.983376372</v>
      </c>
      <c r="R55" s="82" t="n">
        <f aca="false">R26*MIN(1_Assumptions!$F$60*(1+1_Assumptions!$F$66)^(22-1),1_Assumptions!$F$71)*1_Assumptions!$F$63*3*(1+(R31+R32+R33+R34)*1_Assumptions!$F$67)</f>
        <v>742411.559262235</v>
      </c>
      <c r="S55" s="82" t="n">
        <f aca="false">S26*MIN(1_Assumptions!$F$60*(1+1_Assumptions!$F$66)^(25-1),1_Assumptions!$F$71)*1_Assumptions!$F$63*3*(1+(S31+S32+S33+S34)*1_Assumptions!$F$67)</f>
        <v>907282.427698069</v>
      </c>
      <c r="T55" s="82" t="n">
        <f aca="false">T26*MIN(1_Assumptions!$F$60*(1+1_Assumptions!$F$66)^(28-1),1_Assumptions!$F$71)*1_Assumptions!$F$63*3*(1+(T31+T32+T33+T34)*1_Assumptions!$F$67)</f>
        <v>1127922.75124313</v>
      </c>
      <c r="U55" s="82" t="n">
        <f aca="false">U26*MIN(1_Assumptions!$F$60*(1+1_Assumptions!$F$66)^(31-1),1_Assumptions!$F$71)*1_Assumptions!$F$63*3*(1+(U31+U32+U33+U34)*1_Assumptions!$F$67)</f>
        <v>1405115.78725339</v>
      </c>
      <c r="V55" s="82" t="n">
        <f aca="false">V26*MIN(1_Assumptions!$F$60*(1+1_Assumptions!$F$66)^(34-1),1_Assumptions!$F$71)*1_Assumptions!$F$63*3*(1+(V31+V32+V33+V34)*1_Assumptions!$F$67)</f>
        <v>1629968.78654376</v>
      </c>
      <c r="W55" s="82" t="n">
        <f aca="false">W26*MIN(1_Assumptions!$F$60*(1+1_Assumptions!$F$66)^(37-1),1_Assumptions!$F$71)*1_Assumptions!$F$63*3*(1+(W31+W32+W33+W34)*1_Assumptions!$F$67)</f>
        <v>1856011.17842191</v>
      </c>
      <c r="X55" s="82" t="n">
        <f aca="false">X26*MIN(1_Assumptions!$F$60*(1+1_Assumptions!$F$66)^(40-1),1_Assumptions!$F$71)*1_Assumptions!$F$63*3*(1+(X31+X32+X33+X34)*1_Assumptions!$F$67)</f>
        <v>2028416.87063561</v>
      </c>
      <c r="Y55" s="82" t="n">
        <f aca="false">Y26*MIN(1_Assumptions!$F$60*(1+1_Assumptions!$F$66)^(43-1),1_Assumptions!$F$71)*1_Assumptions!$F$63*3*(1+(Y31+Y32+Y33+Y34)*1_Assumptions!$F$67)</f>
        <v>2256498.37246395</v>
      </c>
      <c r="Z55" s="82" t="n">
        <f aca="false">Z26*MIN(1_Assumptions!$F$60*(1+1_Assumptions!$F$66)^(46-1),1_Assumptions!$F$71)*1_Assumptions!$F$63*3*(1+(Z31+Z32+Z33+Z34)*1_Assumptions!$F$67)</f>
        <v>2485597.18672231</v>
      </c>
      <c r="AA55" s="82" t="n">
        <f aca="false">AA26*MIN(1_Assumptions!$F$60*(1+1_Assumptions!$F$66)^(49-1),1_Assumptions!$F$71)*1_Assumptions!$F$63*3*(1+(AA31+AA32+AA33+AA34)*1_Assumptions!$F$67)</f>
        <v>2660263.66583713</v>
      </c>
      <c r="AB55" s="82" t="n">
        <f aca="false">AB26*MIN(1_Assumptions!$F$60*(1+1_Assumptions!$F$66)^(52-1),1_Assumptions!$F$71)*1_Assumptions!$F$63*3*(1+(AB31+AB32+AB33+AB34)*1_Assumptions!$F$67)</f>
        <v>2891094.63023829</v>
      </c>
      <c r="AC55" s="82" t="n">
        <f aca="false">AC26*MIN(1_Assumptions!$F$60*(1+1_Assumptions!$F$66)^(55-1),1_Assumptions!$F$71)*1_Assumptions!$F$63*3*(1+(AC31+AC32+AC33+AC34)*1_Assumptions!$F$67)</f>
        <v>3122816.77280588</v>
      </c>
    </row>
    <row r="56" customFormat="false" ht="15" hidden="false" customHeight="true" outlineLevel="0" collapsed="false">
      <c r="A56" s="16"/>
      <c r="B56" s="17" t="s">
        <v>328</v>
      </c>
      <c r="C56" s="18" t="s">
        <v>311</v>
      </c>
      <c r="D56" s="16"/>
      <c r="E56" s="84" t="n">
        <f aca="false">E53+E54+E55</f>
        <v>11130</v>
      </c>
      <c r="F56" s="84" t="n">
        <f aca="false">F53+F54+F55</f>
        <v>12277.9</v>
      </c>
      <c r="G56" s="84" t="n">
        <f aca="false">G53+G54+G55</f>
        <v>19665.314</v>
      </c>
      <c r="H56" s="84" t="n">
        <f aca="false">H53+H54+H55</f>
        <v>28076.96204055</v>
      </c>
      <c r="I56" s="84" t="n">
        <f aca="false">I53+I54+I55</f>
        <v>49320.6348421638</v>
      </c>
      <c r="J56" s="84" t="n">
        <f aca="false">J53+J54+J55</f>
        <v>59907.6712462082</v>
      </c>
      <c r="K56" s="84" t="n">
        <f aca="false">K53+K54+K55</f>
        <v>63694.6903728159</v>
      </c>
      <c r="L56" s="84" t="n">
        <f aca="false">L53+L54+L55</f>
        <v>89034.715477398</v>
      </c>
      <c r="M56" s="84" t="n">
        <f aca="false">M53+M54+M55</f>
        <v>101934.454968908</v>
      </c>
      <c r="N56" s="84" t="n">
        <f aca="false">N53+N54+N55</f>
        <v>551675.467099654</v>
      </c>
      <c r="O56" s="84" t="n">
        <f aca="false">O53+O54+O55</f>
        <v>819746.078396565</v>
      </c>
      <c r="P56" s="84" t="n">
        <f aca="false">P53+P54+P55</f>
        <v>1154384.99185878</v>
      </c>
      <c r="Q56" s="84" t="n">
        <f aca="false">Q53+Q54+Q55</f>
        <v>1600254.25346348</v>
      </c>
      <c r="R56" s="84" t="n">
        <f aca="false">R53+R54+R55</f>
        <v>2007741.46831336</v>
      </c>
      <c r="S56" s="84" t="n">
        <f aca="false">S53+S54+S55</f>
        <v>2501889.24442348</v>
      </c>
      <c r="T56" s="84" t="n">
        <f aca="false">T53+T54+T55</f>
        <v>3065466.4558308</v>
      </c>
      <c r="U56" s="84" t="n">
        <f aca="false">U53+U54+U55</f>
        <v>3770506.74761453</v>
      </c>
      <c r="V56" s="84" t="n">
        <f aca="false">V53+V54+V55</f>
        <v>4395293.24301449</v>
      </c>
      <c r="W56" s="84" t="n">
        <f aca="false">W53+W54+W55</f>
        <v>5030709.40112298</v>
      </c>
      <c r="X56" s="84" t="n">
        <f aca="false">X53+X54+X55</f>
        <v>5578279.38352319</v>
      </c>
      <c r="Y56" s="84" t="n">
        <f aca="false">Y53+Y54+Y55</f>
        <v>6184880.53434038</v>
      </c>
      <c r="Z56" s="84" t="n">
        <f aca="false">Z53+Z54+Z55</f>
        <v>6795462.12848228</v>
      </c>
      <c r="AA56" s="84" t="n">
        <f aca="false">AA53+AA54+AA55</f>
        <v>7331936.0627658</v>
      </c>
      <c r="AB56" s="84" t="n">
        <f aca="false">AB53+AB54+AB55</f>
        <v>7842024.68705428</v>
      </c>
      <c r="AC56" s="84" t="n">
        <f aca="false">AC53+AC54+AC55</f>
        <v>8375527.0255553</v>
      </c>
    </row>
    <row r="58" customFormat="false" ht="15" hidden="false" customHeight="true" outlineLevel="0" collapsed="false">
      <c r="A58" s="27"/>
      <c r="B58" s="28" t="s">
        <v>329</v>
      </c>
      <c r="C58" s="27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5" hidden="false" customHeight="true" outlineLevel="0" collapsed="false">
      <c r="A59" s="21"/>
      <c r="B59" s="22" t="s">
        <v>330</v>
      </c>
      <c r="C59" s="23" t="s">
        <v>311</v>
      </c>
      <c r="D59" s="21"/>
      <c r="E59" s="82" t="n">
        <f aca="false">E24*1_Assumptions!$F$126*1_Assumptions!$F$129*1</f>
        <v>0</v>
      </c>
      <c r="F59" s="82" t="n">
        <f aca="false">F24*1_Assumptions!$F$126*1_Assumptions!$F$129*1</f>
        <v>0</v>
      </c>
      <c r="G59" s="82" t="n">
        <f aca="false">G24*1_Assumptions!$F$126*1_Assumptions!$F$129*1</f>
        <v>0</v>
      </c>
      <c r="H59" s="82" t="n">
        <f aca="false">H24*1_Assumptions!$F$126*1_Assumptions!$F$129*1</f>
        <v>0</v>
      </c>
      <c r="I59" s="82" t="n">
        <f aca="false">I24*1_Assumptions!$F$126*1_Assumptions!$F$129*1</f>
        <v>0</v>
      </c>
      <c r="J59" s="82" t="n">
        <f aca="false">J24*1_Assumptions!$F$126*1_Assumptions!$F$129*1</f>
        <v>0</v>
      </c>
      <c r="K59" s="82" t="n">
        <f aca="false">K24*1_Assumptions!$F$126*1_Assumptions!$F$129*1</f>
        <v>0</v>
      </c>
      <c r="L59" s="82" t="n">
        <f aca="false">L24*1_Assumptions!$F$126*1_Assumptions!$F$129*1</f>
        <v>0</v>
      </c>
      <c r="M59" s="82" t="n">
        <f aca="false">M24*1_Assumptions!$F$126*1_Assumptions!$F$129*1</f>
        <v>0</v>
      </c>
      <c r="N59" s="82" t="n">
        <f aca="false">N24*1_Assumptions!$F$126*1_Assumptions!$F$129*3</f>
        <v>0</v>
      </c>
      <c r="O59" s="82" t="n">
        <f aca="false">O24*1_Assumptions!$F$126*1_Assumptions!$F$129*3</f>
        <v>0</v>
      </c>
      <c r="P59" s="82" t="n">
        <f aca="false">P24*1_Assumptions!$F$126*1_Assumptions!$F$129*3</f>
        <v>0</v>
      </c>
      <c r="Q59" s="82" t="n">
        <f aca="false">Q24*1_Assumptions!$F$126*1_Assumptions!$F$129*3</f>
        <v>0</v>
      </c>
      <c r="R59" s="82" t="n">
        <f aca="false">R24*1_Assumptions!$F$126*1_Assumptions!$F$129*3</f>
        <v>0</v>
      </c>
      <c r="S59" s="82" t="n">
        <f aca="false">S24*1_Assumptions!$F$126*1_Assumptions!$F$129*3</f>
        <v>0</v>
      </c>
      <c r="T59" s="82" t="n">
        <f aca="false">T24*1_Assumptions!$F$126*1_Assumptions!$F$129*3</f>
        <v>0</v>
      </c>
      <c r="U59" s="82" t="n">
        <f aca="false">U24*1_Assumptions!$F$126*1_Assumptions!$F$129*3</f>
        <v>0</v>
      </c>
      <c r="V59" s="82" t="n">
        <f aca="false">V24*1_Assumptions!$F$126*1_Assumptions!$F$129*3</f>
        <v>0</v>
      </c>
      <c r="W59" s="82" t="n">
        <f aca="false">W24*1_Assumptions!$F$126*1_Assumptions!$F$129*3</f>
        <v>0</v>
      </c>
      <c r="X59" s="82" t="n">
        <f aca="false">X24*1_Assumptions!$F$126*1_Assumptions!$F$129*3</f>
        <v>0</v>
      </c>
      <c r="Y59" s="82" t="n">
        <f aca="false">Y24*1_Assumptions!$F$126*1_Assumptions!$F$129*3</f>
        <v>0</v>
      </c>
      <c r="Z59" s="82" t="n">
        <f aca="false">Z24*1_Assumptions!$F$126*1_Assumptions!$F$129*3</f>
        <v>0</v>
      </c>
      <c r="AA59" s="82" t="n">
        <f aca="false">AA24*1_Assumptions!$F$126*1_Assumptions!$F$129*3</f>
        <v>0</v>
      </c>
      <c r="AB59" s="82" t="n">
        <f aca="false">AB24*1_Assumptions!$F$126*1_Assumptions!$F$129*3</f>
        <v>0</v>
      </c>
      <c r="AC59" s="82" t="n">
        <f aca="false">AC24*1_Assumptions!$F$126*1_Assumptions!$F$129*3</f>
        <v>0</v>
      </c>
    </row>
    <row r="60" customFormat="false" ht="15" hidden="false" customHeight="true" outlineLevel="0" collapsed="false">
      <c r="A60" s="16"/>
      <c r="B60" s="17" t="s">
        <v>331</v>
      </c>
      <c r="C60" s="18" t="s">
        <v>311</v>
      </c>
      <c r="D60" s="16"/>
      <c r="E60" s="84" t="n">
        <f aca="false">E25*1_Assumptions!$F$127*1_Assumptions!$F$130*1</f>
        <v>830</v>
      </c>
      <c r="F60" s="84" t="n">
        <f aca="false">F25*1_Assumptions!$F$127*1_Assumptions!$F$130*1</f>
        <v>830</v>
      </c>
      <c r="G60" s="84" t="n">
        <f aca="false">G25*1_Assumptions!$F$127*1_Assumptions!$F$130*1</f>
        <v>1660</v>
      </c>
      <c r="H60" s="84" t="n">
        <f aca="false">H25*1_Assumptions!$F$127*1_Assumptions!$F$130*1</f>
        <v>2490</v>
      </c>
      <c r="I60" s="84" t="n">
        <f aca="false">I25*1_Assumptions!$F$127*1_Assumptions!$F$130*1</f>
        <v>3320</v>
      </c>
      <c r="J60" s="84" t="n">
        <f aca="false">J25*1_Assumptions!$F$127*1_Assumptions!$F$130*1</f>
        <v>4150</v>
      </c>
      <c r="K60" s="84" t="n">
        <f aca="false">K25*1_Assumptions!$F$127*1_Assumptions!$F$130*1</f>
        <v>4150</v>
      </c>
      <c r="L60" s="84" t="n">
        <f aca="false">L25*1_Assumptions!$F$127*1_Assumptions!$F$130*1</f>
        <v>4980</v>
      </c>
      <c r="M60" s="84" t="n">
        <f aca="false">M25*1_Assumptions!$F$127*1_Assumptions!$F$130*1</f>
        <v>5810</v>
      </c>
      <c r="N60" s="84" t="n">
        <f aca="false">N25*1_Assumptions!$F$127*1_Assumptions!$F$130*3</f>
        <v>29880</v>
      </c>
      <c r="O60" s="84" t="n">
        <f aca="false">O25*1_Assumptions!$F$127*1_Assumptions!$F$130*3</f>
        <v>37350</v>
      </c>
      <c r="P60" s="84" t="n">
        <f aca="false">P25*1_Assumptions!$F$127*1_Assumptions!$F$130*3</f>
        <v>49800</v>
      </c>
      <c r="Q60" s="84" t="n">
        <f aca="false">Q25*1_Assumptions!$F$127*1_Assumptions!$F$130*3</f>
        <v>64740</v>
      </c>
      <c r="R60" s="84" t="n">
        <f aca="false">R25*1_Assumptions!$F$127*1_Assumptions!$F$130*3</f>
        <v>79680</v>
      </c>
      <c r="S60" s="84" t="n">
        <f aca="false">S25*1_Assumptions!$F$127*1_Assumptions!$F$130*3</f>
        <v>99600</v>
      </c>
      <c r="T60" s="84" t="n">
        <f aca="false">T25*1_Assumptions!$F$127*1_Assumptions!$F$130*3</f>
        <v>119520</v>
      </c>
      <c r="U60" s="84" t="n">
        <f aca="false">U25*1_Assumptions!$F$127*1_Assumptions!$F$130*3</f>
        <v>144420</v>
      </c>
      <c r="V60" s="84" t="n">
        <f aca="false">V25*1_Assumptions!$F$127*1_Assumptions!$F$130*3</f>
        <v>166830</v>
      </c>
      <c r="W60" s="84" t="n">
        <f aca="false">W25*1_Assumptions!$F$127*1_Assumptions!$F$130*3</f>
        <v>189240</v>
      </c>
      <c r="X60" s="84" t="n">
        <f aca="false">X25*1_Assumptions!$F$127*1_Assumptions!$F$130*3</f>
        <v>209160</v>
      </c>
      <c r="Y60" s="84" t="n">
        <f aca="false">Y25*1_Assumptions!$F$127*1_Assumptions!$F$130*3</f>
        <v>229080</v>
      </c>
      <c r="Z60" s="84" t="n">
        <f aca="false">Z25*1_Assumptions!$F$127*1_Assumptions!$F$130*3</f>
        <v>249000</v>
      </c>
      <c r="AA60" s="84" t="n">
        <f aca="false">AA25*1_Assumptions!$F$127*1_Assumptions!$F$130*3</f>
        <v>268920</v>
      </c>
      <c r="AB60" s="84" t="n">
        <f aca="false">AB25*1_Assumptions!$F$127*1_Assumptions!$F$130*3</f>
        <v>283860</v>
      </c>
      <c r="AC60" s="84" t="n">
        <f aca="false">AC25*1_Assumptions!$F$127*1_Assumptions!$F$130*3</f>
        <v>301290</v>
      </c>
    </row>
    <row r="61" customFormat="false" ht="15" hidden="false" customHeight="true" outlineLevel="0" collapsed="false">
      <c r="A61" s="21"/>
      <c r="B61" s="22" t="s">
        <v>332</v>
      </c>
      <c r="C61" s="23" t="s">
        <v>311</v>
      </c>
      <c r="D61" s="21"/>
      <c r="E61" s="82" t="n">
        <f aca="false">E26*1_Assumptions!$F$128*1_Assumptions!$F$131*1</f>
        <v>0</v>
      </c>
      <c r="F61" s="82" t="n">
        <f aca="false">F26*1_Assumptions!$F$128*1_Assumptions!$F$131*1</f>
        <v>0</v>
      </c>
      <c r="G61" s="82" t="n">
        <f aca="false">G26*1_Assumptions!$F$128*1_Assumptions!$F$131*1</f>
        <v>0</v>
      </c>
      <c r="H61" s="82" t="n">
        <f aca="false">H26*1_Assumptions!$F$128*1_Assumptions!$F$131*1</f>
        <v>0</v>
      </c>
      <c r="I61" s="82" t="n">
        <f aca="false">I26*1_Assumptions!$F$128*1_Assumptions!$F$131*1</f>
        <v>3340</v>
      </c>
      <c r="J61" s="82" t="n">
        <f aca="false">J26*1_Assumptions!$F$128*1_Assumptions!$F$131*1</f>
        <v>3340</v>
      </c>
      <c r="K61" s="82" t="n">
        <f aca="false">K26*1_Assumptions!$F$128*1_Assumptions!$F$131*1</f>
        <v>3340</v>
      </c>
      <c r="L61" s="82" t="n">
        <f aca="false">L26*1_Assumptions!$F$128*1_Assumptions!$F$131*1</f>
        <v>6680</v>
      </c>
      <c r="M61" s="82" t="n">
        <f aca="false">M26*1_Assumptions!$F$128*1_Assumptions!$F$131*1</f>
        <v>6680</v>
      </c>
      <c r="N61" s="82" t="n">
        <f aca="false">N26*1_Assumptions!$F$128*1_Assumptions!$F$131*3</f>
        <v>40080</v>
      </c>
      <c r="O61" s="82" t="n">
        <f aca="false">O26*1_Assumptions!$F$128*1_Assumptions!$F$131*3</f>
        <v>60120</v>
      </c>
      <c r="P61" s="82" t="n">
        <f aca="false">P26*1_Assumptions!$F$128*1_Assumptions!$F$131*3</f>
        <v>80160</v>
      </c>
      <c r="Q61" s="82" t="n">
        <f aca="false">Q26*1_Assumptions!$F$128*1_Assumptions!$F$131*3</f>
        <v>110220</v>
      </c>
      <c r="R61" s="82" t="n">
        <f aca="false">R26*1_Assumptions!$F$128*1_Assumptions!$F$131*3</f>
        <v>140280</v>
      </c>
      <c r="S61" s="82" t="n">
        <f aca="false">S26*1_Assumptions!$F$128*1_Assumptions!$F$131*3</f>
        <v>170340</v>
      </c>
      <c r="T61" s="82" t="n">
        <f aca="false">T26*1_Assumptions!$F$128*1_Assumptions!$F$131*3</f>
        <v>210420</v>
      </c>
      <c r="U61" s="82" t="n">
        <f aca="false">U26*1_Assumptions!$F$128*1_Assumptions!$F$131*3</f>
        <v>260520</v>
      </c>
      <c r="V61" s="82" t="n">
        <f aca="false">V26*1_Assumptions!$F$128*1_Assumptions!$F$131*3</f>
        <v>300600</v>
      </c>
      <c r="W61" s="82" t="n">
        <f aca="false">W26*1_Assumptions!$F$128*1_Assumptions!$F$131*3</f>
        <v>340680</v>
      </c>
      <c r="X61" s="82" t="n">
        <f aca="false">X26*1_Assumptions!$F$128*1_Assumptions!$F$131*3</f>
        <v>370740</v>
      </c>
      <c r="Y61" s="82" t="n">
        <f aca="false">Y26*1_Assumptions!$F$128*1_Assumptions!$F$131*3</f>
        <v>410820</v>
      </c>
      <c r="Z61" s="82" t="n">
        <f aca="false">Z26*1_Assumptions!$F$128*1_Assumptions!$F$131*3</f>
        <v>450900</v>
      </c>
      <c r="AA61" s="82" t="n">
        <f aca="false">AA26*1_Assumptions!$F$128*1_Assumptions!$F$131*3</f>
        <v>480960</v>
      </c>
      <c r="AB61" s="82" t="n">
        <f aca="false">AB26*1_Assumptions!$F$128*1_Assumptions!$F$131*3</f>
        <v>521040</v>
      </c>
      <c r="AC61" s="82" t="n">
        <f aca="false">AC26*1_Assumptions!$F$128*1_Assumptions!$F$131*3</f>
        <v>561120</v>
      </c>
    </row>
    <row r="62" customFormat="false" ht="15" hidden="false" customHeight="true" outlineLevel="0" collapsed="false">
      <c r="A62" s="16"/>
      <c r="B62" s="17" t="s">
        <v>333</v>
      </c>
      <c r="C62" s="18" t="s">
        <v>311</v>
      </c>
      <c r="D62" s="16"/>
      <c r="E62" s="84" t="n">
        <f aca="false">E59+E60+E61</f>
        <v>830</v>
      </c>
      <c r="F62" s="84" t="n">
        <f aca="false">F59+F60+F61</f>
        <v>830</v>
      </c>
      <c r="G62" s="84" t="n">
        <f aca="false">G59+G60+G61</f>
        <v>1660</v>
      </c>
      <c r="H62" s="84" t="n">
        <f aca="false">H59+H60+H61</f>
        <v>2490</v>
      </c>
      <c r="I62" s="84" t="n">
        <f aca="false">I59+I60+I61</f>
        <v>6660</v>
      </c>
      <c r="J62" s="84" t="n">
        <f aca="false">J59+J60+J61</f>
        <v>7490</v>
      </c>
      <c r="K62" s="84" t="n">
        <f aca="false">K59+K60+K61</f>
        <v>7490</v>
      </c>
      <c r="L62" s="84" t="n">
        <f aca="false">L59+L60+L61</f>
        <v>11660</v>
      </c>
      <c r="M62" s="84" t="n">
        <f aca="false">M59+M60+M61</f>
        <v>12490</v>
      </c>
      <c r="N62" s="84" t="n">
        <f aca="false">N59+N60+N61</f>
        <v>69960</v>
      </c>
      <c r="O62" s="84" t="n">
        <f aca="false">O59+O60+O61</f>
        <v>97470</v>
      </c>
      <c r="P62" s="84" t="n">
        <f aca="false">P59+P60+P61</f>
        <v>129960</v>
      </c>
      <c r="Q62" s="84" t="n">
        <f aca="false">Q59+Q60+Q61</f>
        <v>174960</v>
      </c>
      <c r="R62" s="84" t="n">
        <f aca="false">R59+R60+R61</f>
        <v>219960</v>
      </c>
      <c r="S62" s="84" t="n">
        <f aca="false">S59+S60+S61</f>
        <v>269940</v>
      </c>
      <c r="T62" s="84" t="n">
        <f aca="false">T59+T60+T61</f>
        <v>329940</v>
      </c>
      <c r="U62" s="84" t="n">
        <f aca="false">U59+U60+U61</f>
        <v>404940</v>
      </c>
      <c r="V62" s="84" t="n">
        <f aca="false">V59+V60+V61</f>
        <v>467430</v>
      </c>
      <c r="W62" s="84" t="n">
        <f aca="false">W59+W60+W61</f>
        <v>529920</v>
      </c>
      <c r="X62" s="84" t="n">
        <f aca="false">X59+X60+X61</f>
        <v>579900</v>
      </c>
      <c r="Y62" s="84" t="n">
        <f aca="false">Y59+Y60+Y61</f>
        <v>639900</v>
      </c>
      <c r="Z62" s="84" t="n">
        <f aca="false">Z59+Z60+Z61</f>
        <v>699900</v>
      </c>
      <c r="AA62" s="84" t="n">
        <f aca="false">AA59+AA60+AA61</f>
        <v>749880</v>
      </c>
      <c r="AB62" s="84" t="n">
        <f aca="false">AB59+AB60+AB61</f>
        <v>804900</v>
      </c>
      <c r="AC62" s="84" t="n">
        <f aca="false">AC59+AC60+AC61</f>
        <v>862410</v>
      </c>
    </row>
    <row r="63" customFormat="false" ht="15" hidden="false" customHeight="true" outlineLevel="0" collapsed="false">
      <c r="A63" s="21"/>
      <c r="B63" s="22" t="s">
        <v>334</v>
      </c>
      <c r="C63" s="23" t="s">
        <v>304</v>
      </c>
      <c r="D63" s="55"/>
      <c r="E63" s="38" t="n">
        <f aca="false">IFERROR(E62/E68,0)</f>
        <v>0.061728027796949</v>
      </c>
      <c r="F63" s="38" t="n">
        <f aca="false">IFERROR(F62/F68,0)</f>
        <v>0.0444000800271322</v>
      </c>
      <c r="G63" s="38" t="n">
        <f aca="false">IFERROR(G62/G68,0)</f>
        <v>0.0497024529717486</v>
      </c>
      <c r="H63" s="38" t="n">
        <f aca="false">IFERROR(H62/H68,0)</f>
        <v>0.0523949301292645</v>
      </c>
      <c r="I63" s="38" t="n">
        <f aca="false">IFERROR(I62/I68,0)</f>
        <v>0.0777040530569867</v>
      </c>
      <c r="J63" s="38" t="n">
        <f aca="false">IFERROR(J62/J68,0)</f>
        <v>0.0847242940953726</v>
      </c>
      <c r="K63" s="38" t="n">
        <f aca="false">IFERROR(K62/K68,0)</f>
        <v>0.0886355433264782</v>
      </c>
      <c r="L63" s="38" t="n">
        <f aca="false">IFERROR(L62/L68,0)</f>
        <v>0.0865841405687287</v>
      </c>
      <c r="M63" s="38" t="n">
        <f aca="false">IFERROR(M62/M68,0)</f>
        <v>0.0898371397897562</v>
      </c>
      <c r="N63" s="38" t="n">
        <f aca="false">IFERROR(N62/N68,0)</f>
        <v>0.0923890145063052</v>
      </c>
      <c r="O63" s="38" t="n">
        <f aca="false">IFERROR(O62/O68,0)</f>
        <v>0.0904681307433088</v>
      </c>
      <c r="P63" s="38" t="n">
        <f aca="false">IFERROR(P62/P68,0)</f>
        <v>0.0872362380153688</v>
      </c>
      <c r="Q63" s="38" t="n">
        <f aca="false">IFERROR(Q62/Q68,0)</f>
        <v>0.0857157364880284</v>
      </c>
      <c r="R63" s="38" t="n">
        <f aca="false">IFERROR(R62/R68,0)</f>
        <v>0.0871619443559962</v>
      </c>
      <c r="S63" s="38" t="n">
        <f aca="false">IFERROR(S62/S68,0)</f>
        <v>0.0860536666996127</v>
      </c>
      <c r="T63" s="38" t="n">
        <f aca="false">IFERROR(T62/T68,0)</f>
        <v>0.0860247686590738</v>
      </c>
      <c r="U63" s="38" t="n">
        <f aca="false">IFERROR(U62/U68,0)</f>
        <v>0.0859066153895809</v>
      </c>
      <c r="V63" s="38" t="n">
        <f aca="false">IFERROR(V62/V68,0)</f>
        <v>0.0857746615512999</v>
      </c>
      <c r="W63" s="38" t="n">
        <f aca="false">IFERROR(W62/W68,0)</f>
        <v>0.0854572649177003</v>
      </c>
      <c r="X63" s="38" t="n">
        <f aca="false">IFERROR(X62/X68,0)</f>
        <v>0.0850996656349566</v>
      </c>
      <c r="Y63" s="38" t="n">
        <f aca="false">IFERROR(Y62/Y68,0)</f>
        <v>0.0847854540036513</v>
      </c>
      <c r="Z63" s="38" t="n">
        <f aca="false">IFERROR(Z62/Z68,0)</f>
        <v>0.0847129775956359</v>
      </c>
      <c r="AA63" s="38" t="n">
        <f aca="false">IFERROR(AA62/AA68,0)</f>
        <v>0.084489306662309</v>
      </c>
      <c r="AB63" s="38" t="n">
        <f aca="false">IFERROR(AB62/AB68,0)</f>
        <v>0.0847998923702531</v>
      </c>
      <c r="AC63" s="38" t="n">
        <f aca="false">IFERROR(AC62/AC68,0)</f>
        <v>0.0851544487848919</v>
      </c>
    </row>
    <row r="65" customFormat="false" ht="15" hidden="false" customHeight="true" outlineLevel="0" collapsed="false">
      <c r="A65" s="27"/>
      <c r="B65" s="28" t="s">
        <v>335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customFormat="false" ht="15" hidden="false" customHeight="true" outlineLevel="0" collapsed="false">
      <c r="A66" s="21"/>
      <c r="B66" s="22" t="s">
        <v>336</v>
      </c>
      <c r="C66" s="23" t="s">
        <v>311</v>
      </c>
      <c r="D66" s="21"/>
      <c r="E66" s="82" t="n">
        <f aca="false">(E50+E56)*(12/1)</f>
        <v>151392.96</v>
      </c>
      <c r="F66" s="82" t="n">
        <f aca="false">(F50+F56)*(12/1)</f>
        <v>167563.92</v>
      </c>
      <c r="G66" s="82" t="n">
        <f aca="false">(G50+G56)*(12/1)</f>
        <v>262065.048</v>
      </c>
      <c r="H66" s="82" t="n">
        <f aca="false">(H50+H56)*(12/1)</f>
        <v>373004.1844866</v>
      </c>
      <c r="I66" s="82" t="n">
        <f aca="false">(I50+I56)*(12/1)</f>
        <v>645147.778105966</v>
      </c>
      <c r="J66" s="82" t="n">
        <f aca="false">(J50+J56)*(12/1)</f>
        <v>782793.798112393</v>
      </c>
      <c r="K66" s="82" t="n">
        <f aca="false">(K50+K56)*(12/1)</f>
        <v>834711.206579054</v>
      </c>
      <c r="L66" s="82" t="n">
        <f aca="false">(L50+L56)*(12/1)</f>
        <v>1157581.38572878</v>
      </c>
      <c r="M66" s="82" t="n">
        <f aca="false">(M50+M56)*(12/1)</f>
        <v>1323614.30173216</v>
      </c>
      <c r="N66" s="82" t="n">
        <f aca="false">(N50+N56)*(12/3)</f>
        <v>2372025.770153</v>
      </c>
      <c r="O66" s="82" t="n">
        <f aca="false">(O50+O56)*(12/3)</f>
        <v>3511983.62107852</v>
      </c>
      <c r="P66" s="82" t="n">
        <f aca="false">(P50+P56)*(12/3)</f>
        <v>4934708.29796822</v>
      </c>
      <c r="Q66" s="82" t="n">
        <f aca="false">(Q50+Q56)*(12/3)</f>
        <v>6826641.82119646</v>
      </c>
      <c r="R66" s="82" t="n">
        <f aca="false">(R50+R56)*(12/3)</f>
        <v>8564967.56363348</v>
      </c>
      <c r="S66" s="82" t="n">
        <f aca="false">(S50+S56)*(12/3)</f>
        <v>10678161.2595904</v>
      </c>
      <c r="T66" s="82" t="n">
        <f aca="false">(T50+T56)*(12/3)</f>
        <v>13089722.4430202</v>
      </c>
      <c r="U66" s="82" t="n">
        <f aca="false">(U50+U56)*(12/3)</f>
        <v>16104848.3514596</v>
      </c>
      <c r="V66" s="82" t="n">
        <f aca="false">(V50+V56)*(12/3)</f>
        <v>18781969.7679455</v>
      </c>
      <c r="W66" s="82" t="n">
        <f aca="false">(W50+W56)*(12/3)</f>
        <v>21504820.5184023</v>
      </c>
      <c r="X66" s="82" t="n">
        <f aca="false">(X50+X56)*(12/3)</f>
        <v>23853216.5300929</v>
      </c>
      <c r="Y66" s="82" t="n">
        <f aca="false">(Y50+Y56)*(12/3)</f>
        <v>26447930.7318735</v>
      </c>
      <c r="Z66" s="82" t="n">
        <f aca="false">(Z50+Z56)*(12/3)</f>
        <v>29056946.6260874</v>
      </c>
      <c r="AA66" s="82" t="n">
        <f aca="false">(AA50+AA56)*(12/3)</f>
        <v>31355483.2254246</v>
      </c>
      <c r="AB66" s="82" t="n">
        <f aca="false">(AB50+AB56)*(12/3)</f>
        <v>33552085.4495255</v>
      </c>
      <c r="AC66" s="82" t="n">
        <f aca="false">(AC50+AC56)*(12/3)</f>
        <v>35843269.5479049</v>
      </c>
    </row>
    <row r="67" customFormat="false" ht="15" hidden="false" customHeight="true" outlineLevel="0" collapsed="false">
      <c r="A67" s="16"/>
      <c r="B67" s="17" t="s">
        <v>337</v>
      </c>
      <c r="C67" s="18" t="s">
        <v>311</v>
      </c>
      <c r="D67" s="16"/>
      <c r="E67" s="84" t="n">
        <f aca="false">(E50+E56)/1</f>
        <v>12616.08</v>
      </c>
      <c r="F67" s="84" t="n">
        <f aca="false">(F50+F56)/1</f>
        <v>13963.66</v>
      </c>
      <c r="G67" s="84" t="n">
        <f aca="false">(G50+G56)/1</f>
        <v>21838.754</v>
      </c>
      <c r="H67" s="84" t="n">
        <f aca="false">(H50+H56)/1</f>
        <v>31083.68204055</v>
      </c>
      <c r="I67" s="84" t="n">
        <f aca="false">(I50+I56)/1</f>
        <v>53762.3148421638</v>
      </c>
      <c r="J67" s="84" t="n">
        <f aca="false">(J50+J56)/1</f>
        <v>65232.8165093661</v>
      </c>
      <c r="K67" s="84" t="n">
        <f aca="false">(K50+K56)/1</f>
        <v>69559.2672149211</v>
      </c>
      <c r="L67" s="84" t="n">
        <f aca="false">(L50+L56)/1</f>
        <v>96465.115477398</v>
      </c>
      <c r="M67" s="84" t="n">
        <f aca="false">(M50+M56)/1</f>
        <v>110301.191811013</v>
      </c>
      <c r="N67" s="84" t="n">
        <f aca="false">(N50+N56)/3</f>
        <v>197668.814179417</v>
      </c>
      <c r="O67" s="84" t="n">
        <f aca="false">(O50+O56)/3</f>
        <v>292665.301756543</v>
      </c>
      <c r="P67" s="84" t="n">
        <f aca="false">(P50+P56)/3</f>
        <v>411225.691497352</v>
      </c>
      <c r="Q67" s="84" t="n">
        <f aca="false">(Q50+Q56)/3</f>
        <v>568886.818433038</v>
      </c>
      <c r="R67" s="84" t="n">
        <f aca="false">(R50+R56)/3</f>
        <v>713747.296969457</v>
      </c>
      <c r="S67" s="84" t="n">
        <f aca="false">(S50+S56)/3</f>
        <v>889846.771632531</v>
      </c>
      <c r="T67" s="84" t="n">
        <f aca="false">(T50+T56)/3</f>
        <v>1090810.20358502</v>
      </c>
      <c r="U67" s="84" t="n">
        <f aca="false">(U50+U56)/3</f>
        <v>1342070.69595497</v>
      </c>
      <c r="V67" s="84" t="n">
        <f aca="false">(V50+V56)/3</f>
        <v>1565164.14732879</v>
      </c>
      <c r="W67" s="84" t="n">
        <f aca="false">(W50+W56)/3</f>
        <v>1792068.37653353</v>
      </c>
      <c r="X67" s="84" t="n">
        <f aca="false">(X50+X56)/3</f>
        <v>1987768.04417441</v>
      </c>
      <c r="Y67" s="84" t="n">
        <f aca="false">(Y50+Y56)/3</f>
        <v>2203994.22765613</v>
      </c>
      <c r="Z67" s="84" t="n">
        <f aca="false">(Z50+Z56)/3</f>
        <v>2421412.21884062</v>
      </c>
      <c r="AA67" s="84" t="n">
        <f aca="false">(AA50+AA56)/3</f>
        <v>2612956.93545205</v>
      </c>
      <c r="AB67" s="84" t="n">
        <f aca="false">(AB50+AB56)/3</f>
        <v>2796007.12079379</v>
      </c>
      <c r="AC67" s="84" t="n">
        <f aca="false">(AC50+AC56)/3</f>
        <v>2986939.12899207</v>
      </c>
    </row>
    <row r="68" customFormat="false" ht="15" hidden="false" customHeight="true" outlineLevel="0" collapsed="false">
      <c r="A68" s="86"/>
      <c r="B68" s="87" t="s">
        <v>338</v>
      </c>
      <c r="C68" s="88" t="s">
        <v>311</v>
      </c>
      <c r="D68" s="89"/>
      <c r="E68" s="89" t="n">
        <f aca="false">E42+E50+E56+E62</f>
        <v>13446.08</v>
      </c>
      <c r="F68" s="89" t="n">
        <f aca="false">F42+F50+F56+F62</f>
        <v>18693.66</v>
      </c>
      <c r="G68" s="89" t="n">
        <f aca="false">G42+G50+G56+G62</f>
        <v>33398.754</v>
      </c>
      <c r="H68" s="89" t="n">
        <f aca="false">H42+H50+H56+H62</f>
        <v>47523.68204055</v>
      </c>
      <c r="I68" s="89" t="n">
        <f aca="false">I42+I50+I56+I62</f>
        <v>85709.8148421638</v>
      </c>
      <c r="J68" s="89" t="n">
        <f aca="false">J42+J50+J56+J62</f>
        <v>88404.3954567345</v>
      </c>
      <c r="K68" s="89" t="n">
        <f aca="false">K42+K50+K56+K62</f>
        <v>84503.3461622895</v>
      </c>
      <c r="L68" s="89" t="n">
        <f aca="false">L42+L50+L56+L62</f>
        <v>134666.694424766</v>
      </c>
      <c r="M68" s="89" t="n">
        <f aca="false">M42+M50+M56+M62</f>
        <v>139029.359452338</v>
      </c>
      <c r="N68" s="89" t="n">
        <f aca="false">N42+N50+N56+N62</f>
        <v>757232.885033377</v>
      </c>
      <c r="O68" s="89" t="n">
        <f aca="false">O42+O50+O56+O62</f>
        <v>1077395.97578907</v>
      </c>
      <c r="P68" s="89" t="n">
        <f aca="false">P42+P50+P56+P62</f>
        <v>1489747.87263413</v>
      </c>
      <c r="Q68" s="89" t="n">
        <f aca="false">Q42+Q50+Q56+Q62</f>
        <v>2041165.45185884</v>
      </c>
      <c r="R68" s="89" t="n">
        <f aca="false">R42+R50+R56+R62</f>
        <v>2523578.39909601</v>
      </c>
      <c r="S68" s="89" t="n">
        <f aca="false">S42+S50+S56+S62</f>
        <v>3136879.69790153</v>
      </c>
      <c r="T68" s="89" t="n">
        <f aca="false">T42+T50+T56+T62</f>
        <v>3835407.00129739</v>
      </c>
      <c r="U68" s="89" t="n">
        <f aca="false">U42+U50+U56+U62</f>
        <v>4713723.13021091</v>
      </c>
      <c r="V68" s="89" t="n">
        <f aca="false">V42+V50+V56+V62</f>
        <v>5449511.44715903</v>
      </c>
      <c r="W68" s="89" t="n">
        <f aca="false">W42+W50+W56+W62</f>
        <v>6200994.15199328</v>
      </c>
      <c r="X68" s="89" t="n">
        <f aca="false">X42+X50+X56+X62</f>
        <v>6814362.84940928</v>
      </c>
      <c r="Y68" s="89" t="n">
        <f aca="false">Y42+Y50+Y56+Y62</f>
        <v>7547285.17432298</v>
      </c>
      <c r="Z68" s="89" t="n">
        <f aca="false">Z42+Z50+Z56+Z62</f>
        <v>8262016.27973535</v>
      </c>
      <c r="AA68" s="89" t="n">
        <f aca="false">AA42+AA50+AA56+AA62</f>
        <v>8875442.69947861</v>
      </c>
      <c r="AB68" s="89" t="n">
        <f aca="false">AB42+AB50+AB56+AB62</f>
        <v>9491757.3301349</v>
      </c>
      <c r="AC68" s="89" t="n">
        <f aca="false">AC42+AC50+AC56+AC62</f>
        <v>10127597.7040087</v>
      </c>
      <c r="AF68" s="90"/>
      <c r="AG68" s="90"/>
    </row>
    <row r="70" customFormat="false" ht="15" hidden="false" customHeight="true" outlineLevel="0" collapsed="false">
      <c r="A70" s="27"/>
      <c r="B70" s="28" t="s">
        <v>339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G70" s="90"/>
    </row>
    <row r="71" customFormat="false" ht="15" hidden="false" customHeight="true" outlineLevel="0" collapsed="false">
      <c r="A71" s="21"/>
      <c r="B71" s="22" t="s">
        <v>340</v>
      </c>
      <c r="C71" s="23" t="s">
        <v>311</v>
      </c>
      <c r="D71" s="21"/>
      <c r="E71" s="82" t="n">
        <f aca="false">(E24*E30*1_Assumptions!$F$37*1+E24*E31*1_Assumptions!$F$38*1+E24*E32*1_Assumptions!$F$39*1+E24*E33*1_Assumptions!$F$40*1+E24*E34*1_Assumptions!$F$41*1)*1_Assumptions!$F$112+E24*MIN(1_Assumptions!$F$58*(1+1_Assumptions!$F$64)^(1-1),1_Assumptions!$F$69)*1_Assumptions!$F$109*1*(1+(E31+E32+E33+E34)*1_Assumptions!$F$67)+(E25*E30*1_Assumptions!$F$44*1+E25*E31*1_Assumptions!$F$45*1+E25*E32*1_Assumptions!$F$46*1+E25*E33*1_Assumptions!$F$47*1+E25*E34*1_Assumptions!$F$48*1)*1_Assumptions!$F$113+E25*MIN(1_Assumptions!$F$59*(1+1_Assumptions!$F$65)^(1-1),1_Assumptions!$F$70)*1_Assumptions!$F$110*1*(1+(E31+E32+E33+E34)*1_Assumptions!$F$67)+(E26*E30*1_Assumptions!$F$51*1+E26*E31*1_Assumptions!$F$52*1+E26*E32*1_Assumptions!$F$53*1+E26*E33*1_Assumptions!$F$54*1+E26*E34*1_Assumptions!$F$55*1)*1_Assumptions!$F$114+E26*MIN(1_Assumptions!$F$60*(1+1_Assumptions!$F$66)^(1-1),1_Assumptions!$F$71)*1_Assumptions!$F$111*1*(1+(E31+E32+E33+E34)*1_Assumptions!$F$67)</f>
        <v>1605.84</v>
      </c>
      <c r="F71" s="82" t="n">
        <f aca="false">(F24*F30*1_Assumptions!$F$37*1+F24*F31*1_Assumptions!$F$38*1+F24*F32*1_Assumptions!$F$39*1+F24*F33*1_Assumptions!$F$40*1+F24*F34*1_Assumptions!$F$41*1)*1_Assumptions!$F$112+F24*MIN(1_Assumptions!$F$58*(1+1_Assumptions!$F$64)^(2-1),1_Assumptions!$F$69)*1_Assumptions!$F$109*1*(1+(F31+F32+F33+F34)*1_Assumptions!$F$67)+(F25*F30*1_Assumptions!$F$44*1+F25*F31*1_Assumptions!$F$45*1+F25*F32*1_Assumptions!$F$46*1+F25*F33*1_Assumptions!$F$47*1+F25*F34*1_Assumptions!$F$48*1)*1_Assumptions!$F$113+F25*MIN(1_Assumptions!$F$59*(1+1_Assumptions!$F$65)^(2-1),1_Assumptions!$F$70)*1_Assumptions!$F$110*1*(1+(F31+F32+F33+F34)*1_Assumptions!$F$67)+(F26*F30*1_Assumptions!$F$51*1+F26*F31*1_Assumptions!$F$52*1+F26*F32*1_Assumptions!$F$53*1+F26*F33*1_Assumptions!$F$54*1+F26*F34*1_Assumptions!$F$55*1)*1_Assumptions!$F$114+F26*MIN(1_Assumptions!$F$60*(1+1_Assumptions!$F$66)^(2-1),1_Assumptions!$F$71)*1_Assumptions!$F$111*1*(1+(F31+F32+F33+F34)*1_Assumptions!$F$67)</f>
        <v>1777.58</v>
      </c>
      <c r="G71" s="82" t="n">
        <f aca="false">(G24*G30*1_Assumptions!$F$37*1+G24*G31*1_Assumptions!$F$38*1+G24*G32*1_Assumptions!$F$39*1+G24*G33*1_Assumptions!$F$40*1+G24*G34*1_Assumptions!$F$41*1)*1_Assumptions!$F$112+G24*MIN(1_Assumptions!$F$58*(1+1_Assumptions!$F$64)^(3-1),1_Assumptions!$F$69)*1_Assumptions!$F$109*1*(1+(G31+G32+G33+G34)*1_Assumptions!$F$67)+(G25*G30*1_Assumptions!$F$44*1+G25*G31*1_Assumptions!$F$45*1+G25*G32*1_Assumptions!$F$46*1+G25*G33*1_Assumptions!$F$47*1+G25*G34*1_Assumptions!$F$48*1)*1_Assumptions!$F$113+G25*MIN(1_Assumptions!$F$59*(1+1_Assumptions!$F$65)^(3-1),1_Assumptions!$F$70)*1_Assumptions!$F$110*1*(1+(G31+G32+G33+G34)*1_Assumptions!$F$67)+(G26*G30*1_Assumptions!$F$51*1+G26*G31*1_Assumptions!$F$52*1+G26*G32*1_Assumptions!$F$53*1+G26*G33*1_Assumptions!$F$54*1+G26*G34*1_Assumptions!$F$55*1)*1_Assumptions!$F$114+G26*MIN(1_Assumptions!$F$60*(1+1_Assumptions!$F$66)^(3-1),1_Assumptions!$F$71)*1_Assumptions!$F$111*1*(1+(G31+G32+G33+G34)*1_Assumptions!$F$67)</f>
        <v>2785.486</v>
      </c>
      <c r="H71" s="82" t="n">
        <f aca="false">(H24*H30*1_Assumptions!$F$37*1+H24*H31*1_Assumptions!$F$38*1+H24*H32*1_Assumptions!$F$39*1+H24*H33*1_Assumptions!$F$40*1+H24*H34*1_Assumptions!$F$41*1)*1_Assumptions!$F$112+H24*MIN(1_Assumptions!$F$58*(1+1_Assumptions!$F$64)^(4-1),1_Assumptions!$F$69)*1_Assumptions!$F$109*1*(1+(H31+H32+H33+H34)*1_Assumptions!$F$67)+(H25*H30*1_Assumptions!$F$44*1+H25*H31*1_Assumptions!$F$45*1+H25*H32*1_Assumptions!$F$46*1+H25*H33*1_Assumptions!$F$47*1+H25*H34*1_Assumptions!$F$48*1)*1_Assumptions!$F$113+H25*MIN(1_Assumptions!$F$59*(1+1_Assumptions!$F$65)^(4-1),1_Assumptions!$F$70)*1_Assumptions!$F$110*1*(1+(H31+H32+H33+H34)*1_Assumptions!$F$67)+(H26*H30*1_Assumptions!$F$51*1+H26*H31*1_Assumptions!$F$52*1+H26*H32*1_Assumptions!$F$53*1+H26*H33*1_Assumptions!$F$54*1+H26*H34*1_Assumptions!$F$55*1)*1_Assumptions!$F$114+H26*MIN(1_Assumptions!$F$60*(1+1_Assumptions!$F$66)^(4-1),1_Assumptions!$F$71)*1_Assumptions!$F$111*1*(1+(H31+H32+H33+H34)*1_Assumptions!$F$67)</f>
        <v>3961.5576838875</v>
      </c>
      <c r="I71" s="82" t="n">
        <f aca="false">(I24*I30*1_Assumptions!$F$37*1+I24*I31*1_Assumptions!$F$38*1+I24*I32*1_Assumptions!$F$39*1+I24*I33*1_Assumptions!$F$40*1+I24*I34*1_Assumptions!$F$41*1)*1_Assumptions!$F$112+I24*MIN(1_Assumptions!$F$58*(1+1_Assumptions!$F$64)^(5-1),1_Assumptions!$F$69)*1_Assumptions!$F$109*1*(1+(I31+I32+I33+I34)*1_Assumptions!$F$67)+(I25*I30*1_Assumptions!$F$44*1+I25*I31*1_Assumptions!$F$45*1+I25*I32*1_Assumptions!$F$46*1+I25*I33*1_Assumptions!$F$47*1+I25*I34*1_Assumptions!$F$48*1)*1_Assumptions!$F$113+I25*MIN(1_Assumptions!$F$59*(1+1_Assumptions!$F$65)^(5-1),1_Assumptions!$F$70)*1_Assumptions!$F$110*1*(1+(I31+I32+I33+I34)*1_Assumptions!$F$67)+(I26*I30*1_Assumptions!$F$51*1+I26*I31*1_Assumptions!$F$52*1+I26*I32*1_Assumptions!$F$53*1+I26*I33*1_Assumptions!$F$54*1+I26*I34*1_Assumptions!$F$55*1)*1_Assumptions!$F$114+I26*MIN(1_Assumptions!$F$60*(1+1_Assumptions!$F$66)^(5-1),1_Assumptions!$F$71)*1_Assumptions!$F$111*1*(1+(I31+I32+I33+I34)*1_Assumptions!$F$67)</f>
        <v>6859.96303931134</v>
      </c>
      <c r="J71" s="82" t="n">
        <f aca="false">(J24*J30*1_Assumptions!$F$37*1+J24*J31*1_Assumptions!$F$38*1+J24*J32*1_Assumptions!$F$39*1+J24*J33*1_Assumptions!$F$40*1+J24*J34*1_Assumptions!$F$41*1)*1_Assumptions!$F$112+J24*MIN(1_Assumptions!$F$58*(1+1_Assumptions!$F$64)^(6-1),1_Assumptions!$F$69)*1_Assumptions!$F$109*1*(1+(J31+J32+J33+J34)*1_Assumptions!$F$67)+(J25*J30*1_Assumptions!$F$44*1+J25*J31*1_Assumptions!$F$45*1+J25*J32*1_Assumptions!$F$46*1+J25*J33*1_Assumptions!$F$47*1+J25*J34*1_Assumptions!$F$48*1)*1_Assumptions!$F$113+J25*MIN(1_Assumptions!$F$59*(1+1_Assumptions!$F$65)^(6-1),1_Assumptions!$F$70)*1_Assumptions!$F$110*1*(1+(J31+J32+J33+J34)*1_Assumptions!$F$67)+(J26*J30*1_Assumptions!$F$51*1+J26*J31*1_Assumptions!$F$52*1+J26*J32*1_Assumptions!$F$53*1+J26*J33*1_Assumptions!$F$54*1+J26*J34*1_Assumptions!$F$55*1)*1_Assumptions!$F$114+J26*MIN(1_Assumptions!$F$60*(1+1_Assumptions!$F$66)^(6-1),1_Assumptions!$F$71)*1_Assumptions!$F$111*1*(1+(J31+J32+J33+J34)*1_Assumptions!$F$67)</f>
        <v>8323.75131039411</v>
      </c>
      <c r="K71" s="82" t="n">
        <f aca="false">(K24*K30*1_Assumptions!$F$37*1+K24*K31*1_Assumptions!$F$38*1+K24*K32*1_Assumptions!$F$39*1+K24*K33*1_Assumptions!$F$40*1+K24*K34*1_Assumptions!$F$41*1)*1_Assumptions!$F$112+K24*MIN(1_Assumptions!$F$58*(1+1_Assumptions!$F$64)^(7-1),1_Assumptions!$F$69)*1_Assumptions!$F$109*1*(1+(K31+K32+K33+K34)*1_Assumptions!$F$67)+(K25*K30*1_Assumptions!$F$44*1+K25*K31*1_Assumptions!$F$45*1+K25*K32*1_Assumptions!$F$46*1+K25*K33*1_Assumptions!$F$47*1+K25*K34*1_Assumptions!$F$48*1)*1_Assumptions!$F$113+K25*MIN(1_Assumptions!$F$59*(1+1_Assumptions!$F$65)^(7-1),1_Assumptions!$F$70)*1_Assumptions!$F$110*1*(1+(K31+K32+K33+K34)*1_Assumptions!$F$67)+(K26*K30*1_Assumptions!$F$51*1+K26*K31*1_Assumptions!$F$52*1+K26*K32*1_Assumptions!$F$53*1+K26*K33*1_Assumptions!$F$54*1+K26*K34*1_Assumptions!$F$55*1)*1_Assumptions!$F$114+K26*MIN(1_Assumptions!$F$60*(1+1_Assumptions!$F$66)^(7-1),1_Assumptions!$F$71)*1_Assumptions!$F$111*1*(1+(K31+K32+K33+K34)*1_Assumptions!$F$67)</f>
        <v>8872.52905030188</v>
      </c>
      <c r="L71" s="82" t="n">
        <f aca="false">(L24*L30*1_Assumptions!$F$37*1+L24*L31*1_Assumptions!$F$38*1+L24*L32*1_Assumptions!$F$39*1+L24*L33*1_Assumptions!$F$40*1+L24*L34*1_Assumptions!$F$41*1)*1_Assumptions!$F$112+L24*MIN(1_Assumptions!$F$58*(1+1_Assumptions!$F$64)^(8-1),1_Assumptions!$F$69)*1_Assumptions!$F$109*1*(1+(L31+L32+L33+L34)*1_Assumptions!$F$67)+(L25*L30*1_Assumptions!$F$44*1+L25*L31*1_Assumptions!$F$45*1+L25*L32*1_Assumptions!$F$46*1+L25*L33*1_Assumptions!$F$47*1+L25*L34*1_Assumptions!$F$48*1)*1_Assumptions!$F$113+L25*MIN(1_Assumptions!$F$59*(1+1_Assumptions!$F$65)^(8-1),1_Assumptions!$F$70)*1_Assumptions!$F$110*1*(1+(L31+L32+L33+L34)*1_Assumptions!$F$67)+(L26*L30*1_Assumptions!$F$51*1+L26*L31*1_Assumptions!$F$52*1+L26*L32*1_Assumptions!$F$53*1+L26*L33*1_Assumptions!$F$54*1+L26*L34*1_Assumptions!$F$55*1)*1_Assumptions!$F$114+L26*MIN(1_Assumptions!$F$60*(1+1_Assumptions!$F$66)^(8-1),1_Assumptions!$F$71)*1_Assumptions!$F$111*1*(1+(L31+L32+L33+L34)*1_Assumptions!$F$67)</f>
        <v>12309.3706305424</v>
      </c>
      <c r="M71" s="82" t="n">
        <f aca="false">(M24*M30*1_Assumptions!$F$37*1+M24*M31*1_Assumptions!$F$38*1+M24*M32*1_Assumptions!$F$39*1+M24*M33*1_Assumptions!$F$40*1+M24*M34*1_Assumptions!$F$41*1)*1_Assumptions!$F$112+M24*MIN(1_Assumptions!$F$58*(1+1_Assumptions!$F$64)^(9-1),1_Assumptions!$F$69)*1_Assumptions!$F$109*1*(1+(M31+M32+M33+M34)*1_Assumptions!$F$67)+(M25*M30*1_Assumptions!$F$44*1+M25*M31*1_Assumptions!$F$45*1+M25*M32*1_Assumptions!$F$46*1+M25*M33*1_Assumptions!$F$47*1+M25*M34*1_Assumptions!$F$48*1)*1_Assumptions!$F$113+M25*MIN(1_Assumptions!$F$59*(1+1_Assumptions!$F$65)^(9-1),1_Assumptions!$F$70)*1_Assumptions!$F$110*1*(1+(M31+M32+M33+M34)*1_Assumptions!$F$67)+(M26*M30*1_Assumptions!$F$51*1+M26*M31*1_Assumptions!$F$52*1+M26*M32*1_Assumptions!$F$53*1+M26*M33*1_Assumptions!$F$54*1+M26*M34*1_Assumptions!$F$55*1)*1_Assumptions!$F$114+M26*MIN(1_Assumptions!$F$60*(1+1_Assumptions!$F$66)^(9-1),1_Assumptions!$F$71)*1_Assumptions!$F$111*1*(1+(M31+M32+M33+M34)*1_Assumptions!$F$67)</f>
        <v>14074.8430213752</v>
      </c>
      <c r="N71" s="82" t="n">
        <f aca="false">(N24*N30*1_Assumptions!$F$37*3+N24*N31*1_Assumptions!$F$38*3+N24*N32*1_Assumptions!$F$39*3+N24*N33*1_Assumptions!$F$40*3+N24*N34*1_Assumptions!$F$41*3)*1_Assumptions!$F$112+N24*MIN(1_Assumptions!$F$58*(1+1_Assumptions!$F$64)^(10-1),1_Assumptions!$F$69)*1_Assumptions!$F$109*3*(1+(N31+N32+N33+N34)*1_Assumptions!$F$67)+(N25*N30*1_Assumptions!$F$44*3+N25*N31*1_Assumptions!$F$45*3+N25*N32*1_Assumptions!$F$46*3+N25*N33*1_Assumptions!$F$47*3+N25*N34*1_Assumptions!$F$48*3)*1_Assumptions!$F$113+N25*MIN(1_Assumptions!$F$59*(1+1_Assumptions!$F$65)^(10-1),1_Assumptions!$F$70)*1_Assumptions!$F$110*3*(1+(N31+N32+N33+N34)*1_Assumptions!$F$67)+(N26*N30*1_Assumptions!$F$51*3+N26*N31*1_Assumptions!$F$52*3+N26*N32*1_Assumptions!$F$53*3+N26*N33*1_Assumptions!$F$54*3+N26*N34*1_Assumptions!$F$55*3)*1_Assumptions!$F$114+N26*MIN(1_Assumptions!$F$60*(1+1_Assumptions!$F$66)^(10-1),1_Assumptions!$F$71)*1_Assumptions!$F$111*3*(1+(N31+N32+N33+N34)*1_Assumptions!$F$67)</f>
        <v>75700.7233246999</v>
      </c>
      <c r="O71" s="82" t="n">
        <f aca="false">(O24*O30*1_Assumptions!$F$37*3+O24*O31*1_Assumptions!$F$38*3+O24*O32*1_Assumptions!$F$39*3+O24*O33*1_Assumptions!$F$40*3+O24*O34*1_Assumptions!$F$41*3)*1_Assumptions!$F$112+O24*MIN(1_Assumptions!$F$58*(1+1_Assumptions!$F$64)^(13-1),1_Assumptions!$F$69)*1_Assumptions!$F$109*3*(1+(O31+O32+O33+O34)*1_Assumptions!$F$67)+(O25*O30*1_Assumptions!$F$44*3+O25*O31*1_Assumptions!$F$45*3+O25*O32*1_Assumptions!$F$46*3+O25*O33*1_Assumptions!$F$47*3+O25*O34*1_Assumptions!$F$48*3)*1_Assumptions!$F$113+O25*MIN(1_Assumptions!$F$59*(1+1_Assumptions!$F$65)^(13-1),1_Assumptions!$F$70)*1_Assumptions!$F$110*3*(1+(O31+O32+O33+O34)*1_Assumptions!$F$67)+(O26*O30*1_Assumptions!$F$51*3+O26*O31*1_Assumptions!$F$52*3+O26*O32*1_Assumptions!$F$53*3+O26*O33*1_Assumptions!$F$54*3+O26*O34*1_Assumptions!$F$55*3)*1_Assumptions!$F$114+O26*MIN(1_Assumptions!$F$60*(1+1_Assumptions!$F$66)^(13-1),1_Assumptions!$F$71)*1_Assumptions!$F$111*3*(1+(O31+O32+O33+O34)*1_Assumptions!$F$67)</f>
        <v>112067.254772972</v>
      </c>
      <c r="P71" s="82" t="n">
        <f aca="false">(P24*P30*1_Assumptions!$F$37*3+P24*P31*1_Assumptions!$F$38*3+P24*P32*1_Assumptions!$F$39*3+P24*P33*1_Assumptions!$F$40*3+P24*P34*1_Assumptions!$F$41*3)*1_Assumptions!$F$112+P24*MIN(1_Assumptions!$F$58*(1+1_Assumptions!$F$64)^(16-1),1_Assumptions!$F$69)*1_Assumptions!$F$109*3*(1+(P31+P32+P33+P34)*1_Assumptions!$F$67)+(P25*P30*1_Assumptions!$F$44*3+P25*P31*1_Assumptions!$F$45*3+P25*P32*1_Assumptions!$F$46*3+P25*P33*1_Assumptions!$F$47*3+P25*P34*1_Assumptions!$F$48*3)*1_Assumptions!$F$113+P25*MIN(1_Assumptions!$F$59*(1+1_Assumptions!$F$65)^(16-1),1_Assumptions!$F$70)*1_Assumptions!$F$110*3*(1+(P31+P32+P33+P34)*1_Assumptions!$F$67)+(P26*P30*1_Assumptions!$F$51*3+P26*P31*1_Assumptions!$F$52*3+P26*P32*1_Assumptions!$F$53*3+P26*P33*1_Assumptions!$F$54*3+P26*P34*1_Assumptions!$F$55*3)*1_Assumptions!$F$114+P26*MIN(1_Assumptions!$F$60*(1+1_Assumptions!$F$66)^(16-1),1_Assumptions!$F$71)*1_Assumptions!$F$111*3*(1+(P31+P32+P33+P34)*1_Assumptions!$F$67)</f>
        <v>157560.549015998</v>
      </c>
      <c r="Q71" s="82" t="n">
        <f aca="false">(Q24*Q30*1_Assumptions!$F$37*3+Q24*Q31*1_Assumptions!$F$38*3+Q24*Q32*1_Assumptions!$F$39*3+Q24*Q33*1_Assumptions!$F$40*3+Q24*Q34*1_Assumptions!$F$41*3)*1_Assumptions!$F$112+Q24*MIN(1_Assumptions!$F$58*(1+1_Assumptions!$F$64)^(19-1),1_Assumptions!$F$69)*1_Assumptions!$F$109*3*(1+(Q31+Q32+Q33+Q34)*1_Assumptions!$F$67)+(Q25*Q30*1_Assumptions!$F$44*3+Q25*Q31*1_Assumptions!$F$45*3+Q25*Q32*1_Assumptions!$F$46*3+Q25*Q33*1_Assumptions!$F$47*3+Q25*Q34*1_Assumptions!$F$48*3)*1_Assumptions!$F$113+Q25*MIN(1_Assumptions!$F$59*(1+1_Assumptions!$F$65)^(19-1),1_Assumptions!$F$70)*1_Assumptions!$F$110*3*(1+(Q31+Q32+Q33+Q34)*1_Assumptions!$F$67)+(Q26*Q30*1_Assumptions!$F$51*3+Q26*Q31*1_Assumptions!$F$52*3+Q26*Q32*1_Assumptions!$F$53*3+Q26*Q33*1_Assumptions!$F$54*3+Q26*Q34*1_Assumptions!$F$55*3)*1_Assumptions!$F$114+Q26*MIN(1_Assumptions!$F$60*(1+1_Assumptions!$F$66)^(19-1),1_Assumptions!$F$71)*1_Assumptions!$F$111*3*(1+(Q31+Q32+Q33+Q34)*1_Assumptions!$F$67)</f>
        <v>218086.514696871</v>
      </c>
      <c r="R71" s="82" t="n">
        <f aca="false">(R24*R30*1_Assumptions!$F$37*3+R24*R31*1_Assumptions!$F$38*3+R24*R32*1_Assumptions!$F$39*3+R24*R33*1_Assumptions!$F$40*3+R24*R34*1_Assumptions!$F$41*3)*1_Assumptions!$F$112+R24*MIN(1_Assumptions!$F$58*(1+1_Assumptions!$F$64)^(22-1),1_Assumptions!$F$69)*1_Assumptions!$F$109*3*(1+(R31+R32+R33+R34)*1_Assumptions!$F$67)+(R25*R30*1_Assumptions!$F$44*3+R25*R31*1_Assumptions!$F$45*3+R25*R32*1_Assumptions!$F$46*3+R25*R33*1_Assumptions!$F$47*3+R25*R34*1_Assumptions!$F$48*3)*1_Assumptions!$F$113+R25*MIN(1_Assumptions!$F$59*(1+1_Assumptions!$F$65)^(22-1),1_Assumptions!$F$70)*1_Assumptions!$F$110*3*(1+(R31+R32+R33+R34)*1_Assumptions!$F$67)+(R26*R30*1_Assumptions!$F$51*3+R26*R31*1_Assumptions!$F$52*3+R26*R32*1_Assumptions!$F$53*3+R26*R33*1_Assumptions!$F$54*3+R26*R34*1_Assumptions!$F$55*3)*1_Assumptions!$F$114+R26*MIN(1_Assumptions!$F$60*(1+1_Assumptions!$F$66)^(22-1),1_Assumptions!$F$71)*1_Assumptions!$F$111*3*(1+(R31+R32+R33+R34)*1_Assumptions!$F$67)</f>
        <v>273733.257293</v>
      </c>
      <c r="S71" s="82" t="n">
        <f aca="false">(S24*S30*1_Assumptions!$F$37*3+S24*S31*1_Assumptions!$F$38*3+S24*S32*1_Assumptions!$F$39*3+S24*S33*1_Assumptions!$F$40*3+S24*S34*1_Assumptions!$F$41*3)*1_Assumptions!$F$112+S24*MIN(1_Assumptions!$F$58*(1+1_Assumptions!$F$64)^(25-1),1_Assumptions!$F$69)*1_Assumptions!$F$109*3*(1+(S31+S32+S33+S34)*1_Assumptions!$F$67)+(S25*S30*1_Assumptions!$F$44*3+S25*S31*1_Assumptions!$F$45*3+S25*S32*1_Assumptions!$F$46*3+S25*S33*1_Assumptions!$F$47*3+S25*S34*1_Assumptions!$F$48*3)*1_Assumptions!$F$113+S25*MIN(1_Assumptions!$F$59*(1+1_Assumptions!$F$65)^(25-1),1_Assumptions!$F$70)*1_Assumptions!$F$110*3*(1+(S31+S32+S33+S34)*1_Assumptions!$F$67)+(S26*S30*1_Assumptions!$F$51*3+S26*S31*1_Assumptions!$F$52*3+S26*S32*1_Assumptions!$F$53*3+S26*S33*1_Assumptions!$F$54*3+S26*S34*1_Assumptions!$F$55*3)*1_Assumptions!$F$114+S26*MIN(1_Assumptions!$F$60*(1+1_Assumptions!$F$66)^(25-1),1_Assumptions!$F$71)*1_Assumptions!$F$111*3*(1+(S31+S32+S33+S34)*1_Assumptions!$F$67)</f>
        <v>341408.03985178</v>
      </c>
      <c r="T71" s="82" t="n">
        <f aca="false">(T24*T30*1_Assumptions!$F$37*3+T24*T31*1_Assumptions!$F$38*3+T24*T32*1_Assumptions!$F$39*3+T24*T33*1_Assumptions!$F$40*3+T24*T34*1_Assumptions!$F$41*3)*1_Assumptions!$F$112+T24*MIN(1_Assumptions!$F$58*(1+1_Assumptions!$F$64)^(28-1),1_Assumptions!$F$69)*1_Assumptions!$F$109*3*(1+(T31+T32+T33+T34)*1_Assumptions!$F$67)+(T25*T30*1_Assumptions!$F$44*3+T25*T31*1_Assumptions!$F$45*3+T25*T32*1_Assumptions!$F$46*3+T25*T33*1_Assumptions!$F$47*3+T25*T34*1_Assumptions!$F$48*3)*1_Assumptions!$F$113+T25*MIN(1_Assumptions!$F$59*(1+1_Assumptions!$F$65)^(28-1),1_Assumptions!$F$70)*1_Assumptions!$F$110*3*(1+(T31+T32+T33+T34)*1_Assumptions!$F$67)+(T26*T30*1_Assumptions!$F$51*3+T26*T31*1_Assumptions!$F$52*3+T26*T32*1_Assumptions!$F$53*3+T26*T33*1_Assumptions!$F$54*3+T26*T34*1_Assumptions!$F$55*3)*1_Assumptions!$F$114+T26*MIN(1_Assumptions!$F$60*(1+1_Assumptions!$F$66)^(28-1),1_Assumptions!$F$71)*1_Assumptions!$F$111*3*(1+(T31+T32+T33+T34)*1_Assumptions!$F$67)</f>
        <v>418676.119733773</v>
      </c>
      <c r="U71" s="82" t="n">
        <f aca="false">(U24*U30*1_Assumptions!$F$37*3+U24*U31*1_Assumptions!$F$38*3+U24*U32*1_Assumptions!$F$39*3+U24*U33*1_Assumptions!$F$40*3+U24*U34*1_Assumptions!$F$41*3)*1_Assumptions!$F$112+U24*MIN(1_Assumptions!$F$58*(1+1_Assumptions!$F$64)^(31-1),1_Assumptions!$F$69)*1_Assumptions!$F$109*3*(1+(U31+U32+U33+U34)*1_Assumptions!$F$67)+(U25*U30*1_Assumptions!$F$44*3+U25*U31*1_Assumptions!$F$45*3+U25*U32*1_Assumptions!$F$46*3+U25*U33*1_Assumptions!$F$47*3+U25*U34*1_Assumptions!$F$48*3)*1_Assumptions!$F$113+U25*MIN(1_Assumptions!$F$59*(1+1_Assumptions!$F$65)^(31-1),1_Assumptions!$F$70)*1_Assumptions!$F$110*3*(1+(U31+U32+U33+U34)*1_Assumptions!$F$67)+(U26*U30*1_Assumptions!$F$51*3+U26*U31*1_Assumptions!$F$52*3+U26*U32*1_Assumptions!$F$53*3+U26*U33*1_Assumptions!$F$54*3+U26*U34*1_Assumptions!$F$55*3)*1_Assumptions!$F$114+U26*MIN(1_Assumptions!$F$60*(1+1_Assumptions!$F$66)^(31-1),1_Assumptions!$F$71)*1_Assumptions!$F$111*3*(1+(U31+U32+U33+U34)*1_Assumptions!$F$67)</f>
        <v>515322.047608639</v>
      </c>
      <c r="V71" s="82" t="n">
        <f aca="false">(V24*V30*1_Assumptions!$F$37*3+V24*V31*1_Assumptions!$F$38*3+V24*V32*1_Assumptions!$F$39*3+V24*V33*1_Assumptions!$F$40*3+V24*V34*1_Assumptions!$F$41*3)*1_Assumptions!$F$112+V24*MIN(1_Assumptions!$F$58*(1+1_Assumptions!$F$64)^(34-1),1_Assumptions!$F$69)*1_Assumptions!$F$109*3*(1+(V31+V32+V33+V34)*1_Assumptions!$F$67)+(V25*V30*1_Assumptions!$F$44*3+V25*V31*1_Assumptions!$F$45*3+V25*V32*1_Assumptions!$F$46*3+V25*V33*1_Assumptions!$F$47*3+V25*V34*1_Assumptions!$F$48*3)*1_Assumptions!$F$113+V25*MIN(1_Assumptions!$F$59*(1+1_Assumptions!$F$65)^(34-1),1_Assumptions!$F$70)*1_Assumptions!$F$110*3*(1+(V31+V32+V33+V34)*1_Assumptions!$F$67)+(V26*V30*1_Assumptions!$F$51*3+V26*V31*1_Assumptions!$F$52*3+V26*V32*1_Assumptions!$F$53*3+V26*V33*1_Assumptions!$F$54*3+V26*V34*1_Assumptions!$F$55*3)*1_Assumptions!$F$114+V26*MIN(1_Assumptions!$F$60*(1+1_Assumptions!$F$66)^(34-1),1_Assumptions!$F$71)*1_Assumptions!$F$111*3*(1+(V31+V32+V33+V34)*1_Assumptions!$F$67)</f>
        <v>601217.929431059</v>
      </c>
      <c r="W71" s="82" t="n">
        <f aca="false">(W24*W30*1_Assumptions!$F$37*3+W24*W31*1_Assumptions!$F$38*3+W24*W32*1_Assumptions!$F$39*3+W24*W33*1_Assumptions!$F$40*3+W24*W34*1_Assumptions!$F$41*3)*1_Assumptions!$F$112+W24*MIN(1_Assumptions!$F$58*(1+1_Assumptions!$F$64)^(37-1),1_Assumptions!$F$69)*1_Assumptions!$F$109*3*(1+(W31+W32+W33+W34)*1_Assumptions!$F$67)+(W25*W30*1_Assumptions!$F$44*3+W25*W31*1_Assumptions!$F$45*3+W25*W32*1_Assumptions!$F$46*3+W25*W33*1_Assumptions!$F$47*3+W25*W34*1_Assumptions!$F$48*3)*1_Assumptions!$F$113+W25*MIN(1_Assumptions!$F$59*(1+1_Assumptions!$F$65)^(37-1),1_Assumptions!$F$70)*1_Assumptions!$F$110*3*(1+(W31+W32+W33+W34)*1_Assumptions!$F$67)+(W26*W30*1_Assumptions!$F$51*3+W26*W31*1_Assumptions!$F$52*3+W26*W32*1_Assumptions!$F$53*3+W26*W33*1_Assumptions!$F$54*3+W26*W34*1_Assumptions!$F$55*3)*1_Assumptions!$F$114+W26*MIN(1_Assumptions!$F$60*(1+1_Assumptions!$F$66)^(37-1),1_Assumptions!$F$71)*1_Assumptions!$F$111*3*(1+(W31+W32+W33+W34)*1_Assumptions!$F$67)</f>
        <v>688644.578507542</v>
      </c>
      <c r="X71" s="82" t="n">
        <f aca="false">(X24*X30*1_Assumptions!$F$37*3+X24*X31*1_Assumptions!$F$38*3+X24*X32*1_Assumptions!$F$39*3+X24*X33*1_Assumptions!$F$40*3+X24*X34*1_Assumptions!$F$41*3)*1_Assumptions!$F$112+X24*MIN(1_Assumptions!$F$58*(1+1_Assumptions!$F$64)^(40-1),1_Assumptions!$F$69)*1_Assumptions!$F$109*3*(1+(X31+X32+X33+X34)*1_Assumptions!$F$67)+(X25*X30*1_Assumptions!$F$44*3+X25*X31*1_Assumptions!$F$45*3+X25*X32*1_Assumptions!$F$46*3+X25*X33*1_Assumptions!$F$47*3+X25*X34*1_Assumptions!$F$48*3)*1_Assumptions!$F$113+X25*MIN(1_Assumptions!$F$59*(1+1_Assumptions!$F$65)^(40-1),1_Assumptions!$F$70)*1_Assumptions!$F$110*3*(1+(X31+X32+X33+X34)*1_Assumptions!$F$67)+(X26*X30*1_Assumptions!$F$51*3+X26*X31*1_Assumptions!$F$52*3+X26*X32*1_Assumptions!$F$53*3+X26*X33*1_Assumptions!$F$54*3+X26*X34*1_Assumptions!$F$55*3)*1_Assumptions!$F$114+X26*MIN(1_Assumptions!$F$60*(1+1_Assumptions!$F$66)^(40-1),1_Assumptions!$F$71)*1_Assumptions!$F$111*3*(1+(X31+X32+X33+X34)*1_Assumptions!$F$67)</f>
        <v>764143.83066047</v>
      </c>
      <c r="Y71" s="82" t="n">
        <f aca="false">(Y24*Y30*1_Assumptions!$F$37*3+Y24*Y31*1_Assumptions!$F$38*3+Y24*Y32*1_Assumptions!$F$39*3+Y24*Y33*1_Assumptions!$F$40*3+Y24*Y34*1_Assumptions!$F$41*3)*1_Assumptions!$F$112+Y24*MIN(1_Assumptions!$F$58*(1+1_Assumptions!$F$64)^(43-1),1_Assumptions!$F$69)*1_Assumptions!$F$109*3*(1+(Y31+Y32+Y33+Y34)*1_Assumptions!$F$67)+(Y25*Y30*1_Assumptions!$F$44*3+Y25*Y31*1_Assumptions!$F$45*3+Y25*Y32*1_Assumptions!$F$46*3+Y25*Y33*1_Assumptions!$F$47*3+Y25*Y34*1_Assumptions!$F$48*3)*1_Assumptions!$F$113+Y25*MIN(1_Assumptions!$F$59*(1+1_Assumptions!$F$65)^(43-1),1_Assumptions!$F$70)*1_Assumptions!$F$110*3*(1+(Y31+Y32+Y33+Y34)*1_Assumptions!$F$67)+(Y26*Y30*1_Assumptions!$F$51*3+Y26*Y31*1_Assumptions!$F$52*3+Y26*Y32*1_Assumptions!$F$53*3+Y26*Y33*1_Assumptions!$F$54*3+Y26*Y34*1_Assumptions!$F$55*3)*1_Assumptions!$F$114+Y26*MIN(1_Assumptions!$F$60*(1+1_Assumptions!$F$66)^(43-1),1_Assumptions!$F$71)*1_Assumptions!$F$111*3*(1+(Y31+Y32+Y33+Y34)*1_Assumptions!$F$67)</f>
        <v>847598.685699784</v>
      </c>
      <c r="Z71" s="82" t="n">
        <f aca="false">(Z24*Z30*1_Assumptions!$F$37*3+Z24*Z31*1_Assumptions!$F$38*3+Z24*Z32*1_Assumptions!$F$39*3+Z24*Z33*1_Assumptions!$F$40*3+Z24*Z34*1_Assumptions!$F$41*3)*1_Assumptions!$F$112+Z24*MIN(1_Assumptions!$F$58*(1+1_Assumptions!$F$64)^(46-1),1_Assumptions!$F$69)*1_Assumptions!$F$109*3*(1+(Z31+Z32+Z33+Z34)*1_Assumptions!$F$67)+(Z25*Z30*1_Assumptions!$F$44*3+Z25*Z31*1_Assumptions!$F$45*3+Z25*Z32*1_Assumptions!$F$46*3+Z25*Z33*1_Assumptions!$F$47*3+Z25*Z34*1_Assumptions!$F$48*3)*1_Assumptions!$F$113+Z25*MIN(1_Assumptions!$F$59*(1+1_Assumptions!$F$65)^(46-1),1_Assumptions!$F$70)*1_Assumptions!$F$110*3*(1+(Z31+Z32+Z33+Z34)*1_Assumptions!$F$67)+(Z26*Z30*1_Assumptions!$F$51*3+Z26*Z31*1_Assumptions!$F$52*3+Z26*Z32*1_Assumptions!$F$53*3+Z26*Z33*1_Assumptions!$F$54*3+Z26*Z34*1_Assumptions!$F$55*3)*1_Assumptions!$F$114+Z26*MIN(1_Assumptions!$F$60*(1+1_Assumptions!$F$66)^(46-1),1_Assumptions!$F$71)*1_Assumptions!$F$111*3*(1+(Z31+Z32+Z33+Z34)*1_Assumptions!$F$67)</f>
        <v>931574.774759729</v>
      </c>
      <c r="AA71" s="82" t="n">
        <f aca="false">(AA24*AA30*1_Assumptions!$F$37*3+AA24*AA31*1_Assumptions!$F$38*3+AA24*AA32*1_Assumptions!$F$39*3+AA24*AA33*1_Assumptions!$F$40*3+AA24*AA34*1_Assumptions!$F$41*3)*1_Assumptions!$F$112+AA24*MIN(1_Assumptions!$F$58*(1+1_Assumptions!$F$64)^(49-1),1_Assumptions!$F$69)*1_Assumptions!$F$109*3*(1+(AA31+AA32+AA33+AA34)*1_Assumptions!$F$67)+(AA25*AA30*1_Assumptions!$F$44*3+AA25*AA31*1_Assumptions!$F$45*3+AA25*AA32*1_Assumptions!$F$46*3+AA25*AA33*1_Assumptions!$F$47*3+AA25*AA34*1_Assumptions!$F$48*3)*1_Assumptions!$F$113+AA25*MIN(1_Assumptions!$F$59*(1+1_Assumptions!$F$65)^(49-1),1_Assumptions!$F$70)*1_Assumptions!$F$110*3*(1+(AA31+AA32+AA33+AA34)*1_Assumptions!$F$67)+(AA26*AA30*1_Assumptions!$F$51*3+AA26*AA31*1_Assumptions!$F$52*3+AA26*AA32*1_Assumptions!$F$53*3+AA26*AA33*1_Assumptions!$F$54*3+AA26*AA34*1_Assumptions!$F$55*3)*1_Assumptions!$F$114+AA26*MIN(1_Assumptions!$F$60*(1+1_Assumptions!$F$66)^(49-1),1_Assumptions!$F$71)*1_Assumptions!$F$111*3*(1+(AA31+AA32+AA33+AA34)*1_Assumptions!$F$67)</f>
        <v>1005474.33553769</v>
      </c>
      <c r="AB71" s="82" t="n">
        <f aca="false">(AB24*AB30*1_Assumptions!$F$37*3+AB24*AB31*1_Assumptions!$F$38*3+AB24*AB32*1_Assumptions!$F$39*3+AB24*AB33*1_Assumptions!$F$40*3+AB24*AB34*1_Assumptions!$F$41*3)*1_Assumptions!$F$112+AB24*MIN(1_Assumptions!$F$58*(1+1_Assumptions!$F$64)^(52-1),1_Assumptions!$F$69)*1_Assumptions!$F$109*3*(1+(AB31+AB32+AB33+AB34)*1_Assumptions!$F$67)+(AB25*AB30*1_Assumptions!$F$44*3+AB25*AB31*1_Assumptions!$F$45*3+AB25*AB32*1_Assumptions!$F$46*3+AB25*AB33*1_Assumptions!$F$47*3+AB25*AB34*1_Assumptions!$F$48*3)*1_Assumptions!$F$113+AB25*MIN(1_Assumptions!$F$59*(1+1_Assumptions!$F$65)^(52-1),1_Assumptions!$F$70)*1_Assumptions!$F$110*3*(1+(AB31+AB32+AB33+AB34)*1_Assumptions!$F$67)+(AB26*AB30*1_Assumptions!$F$51*3+AB26*AB31*1_Assumptions!$F$52*3+AB26*AB32*1_Assumptions!$F$53*3+AB26*AB33*1_Assumptions!$F$54*3+AB26*AB34*1_Assumptions!$F$55*3)*1_Assumptions!$F$114+AB26*MIN(1_Assumptions!$F$60*(1+1_Assumptions!$F$66)^(52-1),1_Assumptions!$F$71)*1_Assumptions!$F$111*3*(1+(AB31+AB32+AB33+AB34)*1_Assumptions!$F$67)</f>
        <v>1075952.04182212</v>
      </c>
      <c r="AC71" s="82" t="n">
        <f aca="false">(AC24*AC30*1_Assumptions!$F$37*3+AC24*AC31*1_Assumptions!$F$38*3+AC24*AC32*1_Assumptions!$F$39*3+AC24*AC33*1_Assumptions!$F$40*3+AC24*AC34*1_Assumptions!$F$41*3)*1_Assumptions!$F$112+AC24*MIN(1_Assumptions!$F$58*(1+1_Assumptions!$F$64)^(55-1),1_Assumptions!$F$69)*1_Assumptions!$F$109*3*(1+(AC31+AC32+AC33+AC34)*1_Assumptions!$F$67)+(AC25*AC30*1_Assumptions!$F$44*3+AC25*AC31*1_Assumptions!$F$45*3+AC25*AC32*1_Assumptions!$F$46*3+AC25*AC33*1_Assumptions!$F$47*3+AC25*AC34*1_Assumptions!$F$48*3)*1_Assumptions!$F$113+AC25*MIN(1_Assumptions!$F$59*(1+1_Assumptions!$F$65)^(55-1),1_Assumptions!$F$70)*1_Assumptions!$F$110*3*(1+(AC31+AC32+AC33+AC34)*1_Assumptions!$F$67)+(AC26*AC30*1_Assumptions!$F$51*3+AC26*AC31*1_Assumptions!$F$52*3+AC26*AC32*1_Assumptions!$F$53*3+AC26*AC33*1_Assumptions!$F$54*3+AC26*AC34*1_Assumptions!$F$55*3)*1_Assumptions!$F$114+AC26*MIN(1_Assumptions!$F$60*(1+1_Assumptions!$F$66)^(55-1),1_Assumptions!$F$71)*1_Assumptions!$F$111*3*(1+(AC31+AC32+AC33+AC34)*1_Assumptions!$F$67)</f>
        <v>1149451.47291277</v>
      </c>
    </row>
    <row r="72" customFormat="false" ht="15" hidden="false" customHeight="true" outlineLevel="0" collapsed="false">
      <c r="A72" s="16"/>
      <c r="B72" s="17" t="s">
        <v>341</v>
      </c>
      <c r="C72" s="18" t="s">
        <v>311</v>
      </c>
      <c r="D72" s="16"/>
      <c r="E72" s="84" t="n">
        <f aca="false">E62*1_Assumptions!$F$116</f>
        <v>581</v>
      </c>
      <c r="F72" s="84" t="n">
        <f aca="false">F62*1_Assumptions!$F$116</f>
        <v>581</v>
      </c>
      <c r="G72" s="91" t="n">
        <f aca="false">G62*1_Assumptions!$F$116</f>
        <v>1162</v>
      </c>
      <c r="H72" s="84" t="n">
        <f aca="false">H62*1_Assumptions!$F$116</f>
        <v>1743</v>
      </c>
      <c r="I72" s="84" t="n">
        <f aca="false">I62*1_Assumptions!$F$116</f>
        <v>4662</v>
      </c>
      <c r="J72" s="84" t="n">
        <f aca="false">J62*1_Assumptions!$F$116</f>
        <v>5243</v>
      </c>
      <c r="K72" s="84" t="n">
        <f aca="false">K62*1_Assumptions!$F$116</f>
        <v>5243</v>
      </c>
      <c r="L72" s="84" t="n">
        <f aca="false">L62*1_Assumptions!$F$116</f>
        <v>8162</v>
      </c>
      <c r="M72" s="84" t="n">
        <f aca="false">M62*1_Assumptions!$F$116</f>
        <v>8743</v>
      </c>
      <c r="N72" s="84" t="n">
        <f aca="false">N62*1_Assumptions!$F$116</f>
        <v>48972</v>
      </c>
      <c r="O72" s="84" t="n">
        <f aca="false">O62*1_Assumptions!$F$116</f>
        <v>68229</v>
      </c>
      <c r="P72" s="84" t="n">
        <f aca="false">P62*1_Assumptions!$F$116</f>
        <v>90972</v>
      </c>
      <c r="Q72" s="84" t="n">
        <f aca="false">Q62*1_Assumptions!$F$116</f>
        <v>122472</v>
      </c>
      <c r="R72" s="84" t="n">
        <f aca="false">R62*1_Assumptions!$F$116</f>
        <v>153972</v>
      </c>
      <c r="S72" s="84" t="n">
        <f aca="false">S62*1_Assumptions!$F$116</f>
        <v>188958</v>
      </c>
      <c r="T72" s="84" t="n">
        <f aca="false">T62*1_Assumptions!$F$116</f>
        <v>230958</v>
      </c>
      <c r="U72" s="84" t="n">
        <f aca="false">U62*1_Assumptions!$F$116</f>
        <v>283458</v>
      </c>
      <c r="V72" s="84" t="n">
        <f aca="false">V62*1_Assumptions!$F$116</f>
        <v>327201</v>
      </c>
      <c r="W72" s="84" t="n">
        <f aca="false">W62*1_Assumptions!$F$116</f>
        <v>370944</v>
      </c>
      <c r="X72" s="84" t="n">
        <f aca="false">X62*1_Assumptions!$F$116</f>
        <v>405930</v>
      </c>
      <c r="Y72" s="84" t="n">
        <f aca="false">Y62*1_Assumptions!$F$116</f>
        <v>447930</v>
      </c>
      <c r="Z72" s="84" t="n">
        <f aca="false">Z62*1_Assumptions!$F$116</f>
        <v>489930</v>
      </c>
      <c r="AA72" s="84" t="n">
        <f aca="false">AA62*1_Assumptions!$F$116</f>
        <v>524916</v>
      </c>
      <c r="AB72" s="84" t="n">
        <f aca="false">AB62*1_Assumptions!$F$116</f>
        <v>563430</v>
      </c>
      <c r="AC72" s="84" t="n">
        <f aca="false">AC62*1_Assumptions!$F$116</f>
        <v>603687</v>
      </c>
    </row>
    <row r="73" customFormat="false" ht="15" hidden="false" customHeight="true" outlineLevel="0" collapsed="false">
      <c r="A73" s="21"/>
      <c r="B73" s="22" t="s">
        <v>342</v>
      </c>
      <c r="C73" s="23" t="s">
        <v>311</v>
      </c>
      <c r="D73" s="21"/>
      <c r="E73" s="82" t="n">
        <f aca="false">E42*1_Assumptions!$F$115</f>
        <v>0</v>
      </c>
      <c r="F73" s="82" t="n">
        <f aca="false">F42*1_Assumptions!$F$115</f>
        <v>585</v>
      </c>
      <c r="G73" s="92" t="n">
        <f aca="false">G42*1_Assumptions!$F$115</f>
        <v>1485</v>
      </c>
      <c r="H73" s="82" t="n">
        <f aca="false">H42*1_Assumptions!$F$115</f>
        <v>2092.5</v>
      </c>
      <c r="I73" s="82" t="n">
        <f aca="false">I42*1_Assumptions!$F$115</f>
        <v>3793.125</v>
      </c>
      <c r="J73" s="82" t="n">
        <f aca="false">J42*1_Assumptions!$F$115</f>
        <v>2352.23684210526</v>
      </c>
      <c r="K73" s="82" t="n">
        <f aca="false">K42*1_Assumptions!$F$115</f>
        <v>1118.11184210526</v>
      </c>
      <c r="L73" s="82" t="n">
        <f aca="false">L42*1_Assumptions!$F$115</f>
        <v>3981.23684210526</v>
      </c>
      <c r="M73" s="82" t="n">
        <f aca="false">M42*1_Assumptions!$F$115</f>
        <v>2435.72514619883</v>
      </c>
      <c r="N73" s="82" t="n">
        <f aca="false">N42*1_Assumptions!$F$115</f>
        <v>14139.966374269</v>
      </c>
      <c r="O73" s="82" t="n">
        <f aca="false">O42*1_Assumptions!$F$115</f>
        <v>15289.5105779154</v>
      </c>
      <c r="P73" s="82" t="n">
        <f aca="false">P42*1_Assumptions!$F$115</f>
        <v>18916.6197213109</v>
      </c>
      <c r="Q73" s="82" t="n">
        <f aca="false">Q42*1_Assumptions!$F$115</f>
        <v>23931.7494839594</v>
      </c>
      <c r="R73" s="82" t="n">
        <f aca="false">R42*1_Assumptions!$F$115</f>
        <v>24356.4762281454</v>
      </c>
      <c r="S73" s="82" t="n">
        <f aca="false">S42*1_Assumptions!$F$115</f>
        <v>29609.9074505908</v>
      </c>
      <c r="T73" s="82" t="n">
        <f aca="false">T42*1_Assumptions!$F$115</f>
        <v>34955.4585813498</v>
      </c>
      <c r="U73" s="82" t="n">
        <f aca="false">U42*1_Assumptions!$F$115</f>
        <v>42385.6563519016</v>
      </c>
      <c r="V73" s="82" t="n">
        <f aca="false">V42*1_Assumptions!$F$115</f>
        <v>42988.3507758986</v>
      </c>
      <c r="W73" s="82" t="n">
        <f aca="false">W42*1_Assumptions!$F$115</f>
        <v>44230.3533589054</v>
      </c>
      <c r="X73" s="82" t="n">
        <f aca="false">X42*1_Assumptions!$F$115</f>
        <v>40673.8075329074</v>
      </c>
      <c r="Y73" s="82" t="n">
        <f aca="false">Y42*1_Assumptions!$F$115</f>
        <v>44310.3737031902</v>
      </c>
      <c r="Z73" s="82" t="n">
        <f aca="false">Z42*1_Assumptions!$F$115</f>
        <v>44681.9434820256</v>
      </c>
      <c r="AA73" s="82" t="n">
        <f aca="false">AA42*1_Assumptions!$F$115</f>
        <v>43003.7839683703</v>
      </c>
      <c r="AB73" s="82" t="n">
        <f aca="false">AB42*1_Assumptions!$F$115</f>
        <v>44825.39516303</v>
      </c>
      <c r="AC73" s="82" t="n">
        <f aca="false">AC42*1_Assumptions!$F$115</f>
        <v>45655.5475548769</v>
      </c>
    </row>
    <row r="74" customFormat="false" ht="15" hidden="false" customHeight="true" outlineLevel="0" collapsed="false">
      <c r="A74" s="16"/>
      <c r="B74" s="17" t="s">
        <v>343</v>
      </c>
      <c r="C74" s="18" t="s">
        <v>311</v>
      </c>
      <c r="D74" s="16"/>
      <c r="E74" s="84" t="n">
        <f aca="false">E71+E72+E73</f>
        <v>2186.84</v>
      </c>
      <c r="F74" s="84" t="n">
        <f aca="false">F71+F72+F73</f>
        <v>2943.58</v>
      </c>
      <c r="G74" s="84" t="n">
        <f aca="false">G71+G72+G73</f>
        <v>5432.486</v>
      </c>
      <c r="H74" s="84" t="n">
        <f aca="false">H71+H72+H73</f>
        <v>7797.0576838875</v>
      </c>
      <c r="I74" s="84" t="n">
        <f aca="false">I71+I72+I73</f>
        <v>15315.0880393113</v>
      </c>
      <c r="J74" s="84" t="n">
        <f aca="false">J71+J72+J73</f>
        <v>15918.9881524994</v>
      </c>
      <c r="K74" s="84" t="n">
        <f aca="false">K71+K72+K73</f>
        <v>15233.6408924071</v>
      </c>
      <c r="L74" s="84" t="n">
        <f aca="false">L71+L72+L73</f>
        <v>24452.6074726477</v>
      </c>
      <c r="M74" s="84" t="n">
        <f aca="false">M71+M72+M73</f>
        <v>25253.568167574</v>
      </c>
      <c r="N74" s="84" t="n">
        <f aca="false">N71+N72+N73</f>
        <v>138812.689698969</v>
      </c>
      <c r="O74" s="84" t="n">
        <f aca="false">O71+O72+O73</f>
        <v>195585.765350888</v>
      </c>
      <c r="P74" s="84" t="n">
        <f aca="false">P71+P72+P73</f>
        <v>267449.168737309</v>
      </c>
      <c r="Q74" s="84" t="n">
        <f aca="false">Q71+Q72+Q73</f>
        <v>364490.264180831</v>
      </c>
      <c r="R74" s="84" t="n">
        <f aca="false">R71+R72+R73</f>
        <v>452061.733521145</v>
      </c>
      <c r="S74" s="84" t="n">
        <f aca="false">S71+S72+S73</f>
        <v>559975.947302371</v>
      </c>
      <c r="T74" s="84" t="n">
        <f aca="false">T71+T72+T73</f>
        <v>684589.578315123</v>
      </c>
      <c r="U74" s="84" t="n">
        <f aca="false">U71+U72+U73</f>
        <v>841165.703960541</v>
      </c>
      <c r="V74" s="84" t="n">
        <f aca="false">V71+V72+V73</f>
        <v>971407.280206958</v>
      </c>
      <c r="W74" s="84" t="n">
        <f aca="false">W71+W72+W73</f>
        <v>1103818.93186645</v>
      </c>
      <c r="X74" s="84" t="n">
        <f aca="false">X71+X72+X73</f>
        <v>1210747.63819338</v>
      </c>
      <c r="Y74" s="84" t="n">
        <f aca="false">Y71+Y72+Y73</f>
        <v>1339839.05940297</v>
      </c>
      <c r="Z74" s="84" t="n">
        <f aca="false">Z71+Z72+Z73</f>
        <v>1466186.71824175</v>
      </c>
      <c r="AA74" s="84" t="n">
        <f aca="false">AA71+AA72+AA73</f>
        <v>1573394.11950606</v>
      </c>
      <c r="AB74" s="84" t="n">
        <f aca="false">AB71+AB72+AB73</f>
        <v>1684207.43698515</v>
      </c>
      <c r="AC74" s="84" t="n">
        <f aca="false">AC71+AC72+AC73</f>
        <v>1798794.02046765</v>
      </c>
    </row>
    <row r="75" customFormat="false" ht="15" hidden="false" customHeight="true" outlineLevel="0" collapsed="false">
      <c r="A75" s="86"/>
      <c r="B75" s="87" t="s">
        <v>344</v>
      </c>
      <c r="C75" s="88" t="s">
        <v>311</v>
      </c>
      <c r="D75" s="89"/>
      <c r="E75" s="89" t="n">
        <f aca="false">E68-E74</f>
        <v>11259.24</v>
      </c>
      <c r="F75" s="89" t="n">
        <f aca="false">F68-F74</f>
        <v>15750.08</v>
      </c>
      <c r="G75" s="89" t="n">
        <f aca="false">G68-G74</f>
        <v>27966.268</v>
      </c>
      <c r="H75" s="89" t="n">
        <f aca="false">H68-H74</f>
        <v>39726.6243566625</v>
      </c>
      <c r="I75" s="89" t="n">
        <f aca="false">I68-I74</f>
        <v>70394.7268028525</v>
      </c>
      <c r="J75" s="89" t="n">
        <f aca="false">J68-J74</f>
        <v>72485.4073042352</v>
      </c>
      <c r="K75" s="89" t="n">
        <f aca="false">K68-K74</f>
        <v>69269.7052698824</v>
      </c>
      <c r="L75" s="89" t="n">
        <f aca="false">L68-L74</f>
        <v>110214.086952119</v>
      </c>
      <c r="M75" s="89" t="n">
        <f aca="false">M68-M74</f>
        <v>113775.791284764</v>
      </c>
      <c r="N75" s="89" t="n">
        <f aca="false">N68-N74</f>
        <v>618420.195334408</v>
      </c>
      <c r="O75" s="89" t="n">
        <f aca="false">O68-O74</f>
        <v>881810.210438179</v>
      </c>
      <c r="P75" s="89" t="n">
        <f aca="false">P68-P74</f>
        <v>1222298.70389682</v>
      </c>
      <c r="Q75" s="89" t="n">
        <f aca="false">Q68-Q74</f>
        <v>1676675.18767801</v>
      </c>
      <c r="R75" s="89" t="n">
        <f aca="false">R68-R74</f>
        <v>2071516.66557486</v>
      </c>
      <c r="S75" s="89" t="n">
        <f aca="false">S68-S74</f>
        <v>2576903.75059916</v>
      </c>
      <c r="T75" s="89" t="n">
        <f aca="false">T68-T74</f>
        <v>3150817.42298227</v>
      </c>
      <c r="U75" s="89" t="n">
        <f aca="false">U68-U74</f>
        <v>3872557.42625037</v>
      </c>
      <c r="V75" s="89" t="n">
        <f aca="false">V68-V74</f>
        <v>4478104.16695207</v>
      </c>
      <c r="W75" s="89" t="n">
        <f aca="false">W68-W74</f>
        <v>5097175.22012683</v>
      </c>
      <c r="X75" s="89" t="n">
        <f aca="false">X68-X74</f>
        <v>5603615.2112159</v>
      </c>
      <c r="Y75" s="89" t="n">
        <f aca="false">Y68-Y74</f>
        <v>6207446.11492001</v>
      </c>
      <c r="Z75" s="89" t="n">
        <f aca="false">Z68-Z74</f>
        <v>6795829.5614936</v>
      </c>
      <c r="AA75" s="89" t="n">
        <f aca="false">AA68-AA74</f>
        <v>7302048.57997255</v>
      </c>
      <c r="AB75" s="89" t="n">
        <f aca="false">AB68-AB74</f>
        <v>7807549.89314976</v>
      </c>
      <c r="AC75" s="89" t="n">
        <f aca="false">AC68-AC74</f>
        <v>8328803.68354108</v>
      </c>
    </row>
    <row r="76" customFormat="false" ht="15" hidden="false" customHeight="true" outlineLevel="0" collapsed="false">
      <c r="A76" s="16"/>
      <c r="B76" s="17" t="s">
        <v>345</v>
      </c>
      <c r="C76" s="18" t="s">
        <v>304</v>
      </c>
      <c r="D76" s="56"/>
      <c r="E76" s="42" t="n">
        <f aca="false">IFERROR(E75/E68,0)</f>
        <v>0.837362264689783</v>
      </c>
      <c r="F76" s="42" t="n">
        <f aca="false">IFERROR(F75/F68,0)</f>
        <v>0.842535918594861</v>
      </c>
      <c r="G76" s="42" t="n">
        <f aca="false">IFERROR(G75/G68,0)</f>
        <v>0.837344650641757</v>
      </c>
      <c r="H76" s="42" t="n">
        <f aca="false">IFERROR(H75/H68,0)</f>
        <v>0.835933215838904</v>
      </c>
      <c r="I76" s="42" t="n">
        <f aca="false">IFERROR(I75/I68,0)</f>
        <v>0.821314652615755</v>
      </c>
      <c r="J76" s="42" t="n">
        <f aca="false">IFERROR(J75/J68,0)</f>
        <v>0.819929902011601</v>
      </c>
      <c r="K76" s="42" t="n">
        <f aca="false">IFERROR(K75/K68,0)</f>
        <v>0.81972736484126</v>
      </c>
      <c r="L76" s="42" t="n">
        <f aca="false">IFERROR(L75/L68,0)</f>
        <v>0.818421269066581</v>
      </c>
      <c r="M76" s="42" t="n">
        <f aca="false">IFERROR(M75/M68,0)</f>
        <v>0.81835801972294</v>
      </c>
      <c r="N76" s="42" t="n">
        <f aca="false">IFERROR(N75/N68,0)</f>
        <v>0.816684282414847</v>
      </c>
      <c r="O76" s="42" t="n">
        <f aca="false">IFERROR(O75/O68,0)</f>
        <v>0.818464362457226</v>
      </c>
      <c r="P76" s="42" t="n">
        <f aca="false">IFERROR(P75/P68,0)</f>
        <v>0.820473535387962</v>
      </c>
      <c r="Q76" s="42" t="n">
        <f aca="false">IFERROR(Q75/Q68,0)</f>
        <v>0.821430318718702</v>
      </c>
      <c r="R76" s="42" t="n">
        <f aca="false">IFERROR(R75/R68,0)</f>
        <v>0.820864795132546</v>
      </c>
      <c r="S76" s="42" t="n">
        <f aca="false">IFERROR(S75/S68,0)</f>
        <v>0.821486317222501</v>
      </c>
      <c r="T76" s="42" t="n">
        <f aca="false">IFERROR(T75/T68,0)</f>
        <v>0.82150797084024</v>
      </c>
      <c r="U76" s="42" t="n">
        <f aca="false">IFERROR(U75/U68,0)</f>
        <v>0.821549615723208</v>
      </c>
      <c r="V76" s="42" t="n">
        <f aca="false">IFERROR(V75/V68,0)</f>
        <v>0.821744152732558</v>
      </c>
      <c r="W76" s="42" t="n">
        <f aca="false">IFERROR(W75/W68,0)</f>
        <v>0.821993231277015</v>
      </c>
      <c r="X76" s="42" t="n">
        <f aca="false">IFERROR(X75/X68,0)</f>
        <v>0.82232416075432</v>
      </c>
      <c r="Y76" s="42" t="n">
        <f aca="false">IFERROR(Y75/Y68,0)</f>
        <v>0.822474038219556</v>
      </c>
      <c r="Z76" s="42" t="n">
        <f aca="false">IFERROR(Z75/Z68,0)</f>
        <v>0.822538873248417</v>
      </c>
      <c r="AA76" s="42" t="n">
        <f aca="false">IFERROR(AA75/AA68,0)</f>
        <v>0.822724998314902</v>
      </c>
      <c r="AB76" s="42" t="n">
        <f aca="false">IFERROR(AB75/AB68,0)</f>
        <v>0.822561051825668</v>
      </c>
      <c r="AC76" s="42" t="n">
        <f aca="false">IFERROR(AC75/AC68,0)</f>
        <v>0.822386900325272</v>
      </c>
    </row>
    <row r="78" customFormat="false" ht="15" hidden="false" customHeight="true" outlineLevel="0" collapsed="false">
      <c r="A78" s="27"/>
      <c r="B78" s="28" t="s">
        <v>346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customFormat="false" ht="15" hidden="false" customHeight="true" outlineLevel="0" collapsed="false">
      <c r="A79" s="21"/>
      <c r="B79" s="22" t="s">
        <v>347</v>
      </c>
      <c r="C79" s="23" t="s">
        <v>311</v>
      </c>
      <c r="D79" s="21"/>
      <c r="E79" s="82" t="n">
        <f aca="false">MAX(1_Assumptions!$F$118*1,E68*(1_Assumptions!$F$119-(1_Assumptions!$F$119-1_Assumptions!$F$120)*MIN((1-1)/54,1)))+5_Headcount!E58</f>
        <v>16667</v>
      </c>
      <c r="F79" s="82" t="n">
        <f aca="false">MAX(1_Assumptions!$F$118*1,F68*(1_Assumptions!$F$119-(1_Assumptions!$F$119-1_Assumptions!$F$120)*MIN((2-1)/54,1)))+5_Headcount!F58</f>
        <v>16667</v>
      </c>
      <c r="G79" s="92" t="n">
        <f aca="false">MAX(1_Assumptions!$F$118*1,G68*(1_Assumptions!$F$119-(1_Assumptions!$F$119-1_Assumptions!$F$120)*MIN((3-1)/54,1)))+5_Headcount!G58</f>
        <v>16667</v>
      </c>
      <c r="H79" s="82" t="n">
        <f aca="false">MAX(1_Assumptions!$F$118*1,H68*(1_Assumptions!$F$119-(1_Assumptions!$F$119-1_Assumptions!$F$120)*MIN((4-1)/54,1)))+5_Headcount!H58</f>
        <v>27280.1087992154</v>
      </c>
      <c r="I79" s="82" t="n">
        <f aca="false">MAX(1_Assumptions!$F$118*1,I68*(1_Assumptions!$F$119-(1_Assumptions!$F$119-1_Assumptions!$F$120)*MIN((5-1)/54,1)))+5_Headcount!I58</f>
        <v>41998.2613275082</v>
      </c>
      <c r="J79" s="82" t="n">
        <f aca="false">MAX(1_Assumptions!$F$118*1,J68*(1_Assumptions!$F$119-(1_Assumptions!$F$119-1_Assumptions!$F$120)*MIN((6-1)/54,1)))+5_Headcount!J58</f>
        <v>42800.5860235725</v>
      </c>
      <c r="K79" s="82" t="n">
        <f aca="false">MAX(1_Assumptions!$F$118*1,K68*(1_Assumptions!$F$119-(1_Assumptions!$F$119-1_Assumptions!$F$120)*MIN((7-1)/54,1)))+5_Headcount!K58</f>
        <v>41059.6160288777</v>
      </c>
      <c r="L79" s="82" t="n">
        <f aca="false">MAX(1_Assumptions!$F$118*1,L68*(1_Assumptions!$F$119-(1_Assumptions!$F$119-1_Assumptions!$F$120)*MIN((8-1)/54,1)))+5_Headcount!L58</f>
        <v>59914.8253783139</v>
      </c>
      <c r="M79" s="82" t="n">
        <f aca="false">MAX(1_Assumptions!$F$118*1,M68*(1_Assumptions!$F$119-(1_Assumptions!$F$119-1_Assumptions!$F$120)*MIN((9-1)/54,1)))+5_Headcount!M58</f>
        <v>61188.869126439</v>
      </c>
      <c r="N79" s="82" t="n">
        <f aca="false">MAX(1_Assumptions!$F$118*3,N68*(1_Assumptions!$F$119-(1_Assumptions!$F$119-1_Assumptions!$F$120)*MIN((10-1)/54,1)))+5_Headcount!N58</f>
        <v>335962.331887516</v>
      </c>
      <c r="O79" s="82" t="n">
        <f aca="false">MAX(1_Assumptions!$F$118*3,O68*(1_Assumptions!$F$119-(1_Assumptions!$F$119-1_Assumptions!$F$120)*MIN((13-1)/54,1)))+5_Headcount!O58</f>
        <v>452245.191122658</v>
      </c>
      <c r="P79" s="82" t="n">
        <f aca="false">MAX(1_Assumptions!$F$118*3,P68*(1_Assumptions!$F$119-(1_Assumptions!$F$119-1_Assumptions!$F$120)*MIN((16-1)/54,1)))+5_Headcount!P58</f>
        <v>619626.321027229</v>
      </c>
      <c r="Q79" s="82" t="n">
        <f aca="false">MAX(1_Assumptions!$F$118*3,Q68*(1_Assumptions!$F$119-(1_Assumptions!$F$119-1_Assumptions!$F$120)*MIN((19-1)/54,1)))+5_Headcount!Q58</f>
        <v>848470.408150595</v>
      </c>
      <c r="R79" s="82" t="n">
        <f aca="false">MAX(1_Assumptions!$F$118*3,R68*(1_Assumptions!$F$119-(1_Assumptions!$F$119-1_Assumptions!$F$120)*MIN((22-1)/54,1)))+5_Headcount!R58</f>
        <v>996285.119691135</v>
      </c>
      <c r="S79" s="82" t="n">
        <f aca="false">MAX(1_Assumptions!$F$118*3,S68*(1_Assumptions!$F$119-(1_Assumptions!$F$119-1_Assumptions!$F$120)*MIN((25-1)/54,1)))+5_Headcount!S58</f>
        <v>1224555.31596718</v>
      </c>
      <c r="T79" s="82" t="n">
        <f aca="false">MAX(1_Assumptions!$F$118*3,T68*(1_Assumptions!$F$119-(1_Assumptions!$F$119-1_Assumptions!$F$120)*MIN((28-1)/54,1)))+5_Headcount!T58</f>
        <v>1456896.02542165</v>
      </c>
      <c r="U79" s="82" t="n">
        <f aca="false">MAX(1_Assumptions!$F$118*3,U68*(1_Assumptions!$F$119-(1_Assumptions!$F$119-1_Assumptions!$F$120)*MIN((31-1)/54,1)))+5_Headcount!U58</f>
        <v>1734527.74123345</v>
      </c>
      <c r="V79" s="82" t="n">
        <f aca="false">MAX(1_Assumptions!$F$118*3,V68*(1_Assumptions!$F$119-(1_Assumptions!$F$119-1_Assumptions!$F$120)*MIN((34-1)/54,1)))+5_Headcount!V58</f>
        <v>1922114.7795407</v>
      </c>
      <c r="W79" s="82" t="n">
        <f aca="false">MAX(1_Assumptions!$F$118*3,W68*(1_Assumptions!$F$119-(1_Assumptions!$F$119-1_Assumptions!$F$120)*MIN((37-1)/54,1)))+5_Headcount!W58</f>
        <v>2126331.87059798</v>
      </c>
      <c r="X79" s="82" t="n">
        <f aca="false">MAX(1_Assumptions!$F$118*3,X68*(1_Assumptions!$F$119-(1_Assumptions!$F$119-1_Assumptions!$F$120)*MIN((40-1)/54,1)))+5_Headcount!X58</f>
        <v>2253556.12274437</v>
      </c>
      <c r="Y79" s="82" t="n">
        <f aca="false">MAX(1_Assumptions!$F$118*3,Y68*(1_Assumptions!$F$119-(1_Assumptions!$F$119-1_Assumptions!$F$120)*MIN((43-1)/54,1)))+5_Headcount!Y58</f>
        <v>2404431.09105818</v>
      </c>
      <c r="Z79" s="82" t="n">
        <f aca="false">MAX(1_Assumptions!$F$118*3,Z68*(1_Assumptions!$F$119-(1_Assumptions!$F$119-1_Assumptions!$F$120)*MIN((46-1)/54,1)))+5_Headcount!Z58</f>
        <v>2538088.10192722</v>
      </c>
      <c r="AA79" s="82" t="n">
        <f aca="false">MAX(1_Assumptions!$F$118*3,AA68*(1_Assumptions!$F$119-(1_Assumptions!$F$119-1_Assumptions!$F$120)*MIN((49-1)/54,1)))+5_Headcount!AA58</f>
        <v>2659421.70736096</v>
      </c>
      <c r="AB79" s="82" t="n">
        <f aca="false">MAX(1_Assumptions!$F$118*3,AB68*(1_Assumptions!$F$119-(1_Assumptions!$F$119-1_Assumptions!$F$120)*MIN((52-1)/54,1)))+5_Headcount!AB58</f>
        <v>2744674.29778485</v>
      </c>
      <c r="AC79" s="82" t="n">
        <f aca="false">MAX(1_Assumptions!$F$118*3,AC68*(1_Assumptions!$F$119-(1_Assumptions!$F$119-1_Assumptions!$F$120)*MIN((55-1)/54,1)))+5_Headcount!AC58</f>
        <v>2824536.41350218</v>
      </c>
    </row>
    <row r="80" customFormat="false" ht="15" hidden="false" customHeight="true" outlineLevel="0" collapsed="false">
      <c r="A80" s="16"/>
      <c r="B80" s="17" t="s">
        <v>348</v>
      </c>
      <c r="C80" s="18" t="s">
        <v>311</v>
      </c>
      <c r="D80" s="16"/>
      <c r="E80" s="84" t="n">
        <f aca="false">MAX(1_Assumptions!$F$121*1,E68*(1_Assumptions!$F$122-(1_Assumptions!$F$122-1_Assumptions!$F$123)*MIN((1-1)/54,1)))+5_Headcount!E59</f>
        <v>21999.6666666667</v>
      </c>
      <c r="F80" s="84" t="n">
        <f aca="false">MAX(1_Assumptions!$F$121*1,F68*(1_Assumptions!$F$122-(1_Assumptions!$F$122-1_Assumptions!$F$123)*MIN((2-1)/54,1)))+5_Headcount!F59</f>
        <v>21999.6666666667</v>
      </c>
      <c r="G80" s="91" t="n">
        <f aca="false">MAX(1_Assumptions!$F$121*1,G68*(1_Assumptions!$F$122-(1_Assumptions!$F$122-1_Assumptions!$F$123)*MIN((3-1)/54,1)))+5_Headcount!G59</f>
        <v>21999.6666666667</v>
      </c>
      <c r="H80" s="84" t="n">
        <f aca="false">MAX(1_Assumptions!$F$121*1,H68*(1_Assumptions!$F$122-(1_Assumptions!$F$122-1_Assumptions!$F$123)*MIN((4-1)/54,1)))+5_Headcount!H59</f>
        <v>52861.0739284937</v>
      </c>
      <c r="I80" s="84" t="n">
        <f aca="false">MAX(1_Assumptions!$F$121*1,I68*(1_Assumptions!$F$122-(1_Assumptions!$F$122-1_Assumptions!$F$123)*MIN((5-1)/54,1)))+5_Headcount!I59</f>
        <v>63760.6131766251</v>
      </c>
      <c r="J80" s="84" t="n">
        <f aca="false">MAX(1_Assumptions!$F$121*1,J68*(1_Assumptions!$F$122-(1_Assumptions!$F$122-1_Assumptions!$F$123)*MIN((6-1)/54,1)))+5_Headcount!J59</f>
        <v>64293.4798112324</v>
      </c>
      <c r="K80" s="84" t="n">
        <f aca="false">MAX(1_Assumptions!$F$121*1,K68*(1_Assumptions!$F$122-(1_Assumptions!$F$122-1_Assumptions!$F$123)*MIN((7-1)/54,1)))+5_Headcount!K59</f>
        <v>62942.614745982</v>
      </c>
      <c r="L80" s="84" t="n">
        <f aca="false">MAX(1_Assumptions!$F$121*1,L68*(1_Assumptions!$F$122-(1_Assumptions!$F$122-1_Assumptions!$F$123)*MIN((8-1)/54,1)))+5_Headcount!L59</f>
        <v>76781.4892691706</v>
      </c>
      <c r="M80" s="84" t="n">
        <f aca="false">MAX(1_Assumptions!$F$121*1,M68*(1_Assumptions!$F$122-(1_Assumptions!$F$122-1_Assumptions!$F$123)*MIN((9-1)/54,1)))+5_Headcount!M59</f>
        <v>77619.2665145385</v>
      </c>
      <c r="N80" s="84" t="n">
        <f aca="false">MAX(1_Assumptions!$F$121*3,N68*(1_Assumptions!$F$122-(1_Assumptions!$F$122-1_Assumptions!$F$123)*MIN((10-1)/54,1)))+5_Headcount!N59</f>
        <v>425989.043384179</v>
      </c>
      <c r="O80" s="84" t="n">
        <f aca="false">MAX(1_Assumptions!$F$121*3,O68*(1_Assumptions!$F$122-(1_Assumptions!$F$122-1_Assumptions!$F$123)*MIN((13-1)/54,1)))+5_Headcount!O59</f>
        <v>526830.593543751</v>
      </c>
      <c r="P80" s="84" t="n">
        <f aca="false">MAX(1_Assumptions!$F$121*3,P68*(1_Assumptions!$F$122-(1_Assumptions!$F$122-1_Assumptions!$F$123)*MIN((16-1)/54,1)))+5_Headcount!P59</f>
        <v>624376.533763816</v>
      </c>
      <c r="Q80" s="84" t="n">
        <f aca="false">MAX(1_Assumptions!$F$121*3,Q68*(1_Assumptions!$F$122-(1_Assumptions!$F$122-1_Assumptions!$F$123)*MIN((19-1)/54,1)))+5_Headcount!Q59</f>
        <v>810591.362964711</v>
      </c>
      <c r="R80" s="84" t="n">
        <f aca="false">MAX(1_Assumptions!$F$121*3,R68*(1_Assumptions!$F$122-(1_Assumptions!$F$122-1_Assumptions!$F$123)*MIN((22-1)/54,1)))+5_Headcount!R59</f>
        <v>910164.779781535</v>
      </c>
      <c r="S80" s="84" t="n">
        <f aca="false">MAX(1_Assumptions!$F$121*3,S68*(1_Assumptions!$F$122-(1_Assumptions!$F$122-1_Assumptions!$F$123)*MIN((25-1)/54,1)))+5_Headcount!S59</f>
        <v>1062268.59617702</v>
      </c>
      <c r="T80" s="84" t="n">
        <f aca="false">MAX(1_Assumptions!$F$121*3,T68*(1_Assumptions!$F$122-(1_Assumptions!$F$122-1_Assumptions!$F$123)*MIN((28-1)/54,1)))+5_Headcount!T59</f>
        <v>1193296.57529191</v>
      </c>
      <c r="U80" s="84" t="n">
        <f aca="false">MAX(1_Assumptions!$F$121*3,U68*(1_Assumptions!$F$122-(1_Assumptions!$F$122-1_Assumptions!$F$123)*MIN((31-1)/54,1)))+5_Headcount!U59</f>
        <v>1351636.67821236</v>
      </c>
      <c r="V80" s="84" t="n">
        <f aca="false">MAX(1_Assumptions!$F$121*3,V68*(1_Assumptions!$F$122-(1_Assumptions!$F$122-1_Assumptions!$F$123)*MIN((34-1)/54,1)))+5_Headcount!V59</f>
        <v>1465644.8848248</v>
      </c>
      <c r="W80" s="84" t="n">
        <f aca="false">MAX(1_Assumptions!$F$121*3,W68*(1_Assumptions!$F$122-(1_Assumptions!$F$122-1_Assumptions!$F$123)*MIN((37-1)/54,1)))+5_Headcount!W59</f>
        <v>1603561.83039866</v>
      </c>
      <c r="X80" s="84" t="n">
        <f aca="false">MAX(1_Assumptions!$F$121*3,X68*(1_Assumptions!$F$122-(1_Assumptions!$F$122-1_Assumptions!$F$123)*MIN((40-1)/54,1)))+5_Headcount!X59</f>
        <v>1669449.21280345</v>
      </c>
      <c r="Y80" s="84" t="n">
        <f aca="false">MAX(1_Assumptions!$F$121*3,Y68*(1_Assumptions!$F$122-(1_Assumptions!$F$122-1_Assumptions!$F$123)*MIN((43-1)/54,1)))+5_Headcount!Y59</f>
        <v>1747031.94862588</v>
      </c>
      <c r="Z80" s="84" t="n">
        <f aca="false">MAX(1_Assumptions!$F$121*3,Z68*(1_Assumptions!$F$122-(1_Assumptions!$F$122-1_Assumptions!$F$123)*MIN((46-1)/54,1)))+5_Headcount!Z59</f>
        <v>1809215.84895369</v>
      </c>
      <c r="AA80" s="84" t="n">
        <f aca="false">MAX(1_Assumptions!$F$121*3,AA68*(1_Assumptions!$F$122-(1_Assumptions!$F$122-1_Assumptions!$F$123)*MIN((49-1)/54,1)))+5_Headcount!AA59</f>
        <v>1878939.7499131</v>
      </c>
      <c r="AB80" s="84" t="n">
        <f aca="false">MAX(1_Assumptions!$F$121*3,AB68*(1_Assumptions!$F$122-(1_Assumptions!$F$122-1_Assumptions!$F$123)*MIN((52-1)/54,1)))+5_Headcount!AB59</f>
        <v>1902560.87727136</v>
      </c>
      <c r="AC80" s="84" t="n">
        <f aca="false">MAX(1_Assumptions!$F$121*3,AC68*(1_Assumptions!$F$122-(1_Assumptions!$F$122-1_Assumptions!$F$123)*MIN((55-1)/54,1)))+5_Headcount!AC59</f>
        <v>1918838.95560131</v>
      </c>
    </row>
    <row r="81" customFormat="false" ht="15" hidden="false" customHeight="true" outlineLevel="0" collapsed="false">
      <c r="A81" s="21"/>
      <c r="B81" s="22" t="s">
        <v>349</v>
      </c>
      <c r="C81" s="23" t="s">
        <v>311</v>
      </c>
      <c r="D81" s="21"/>
      <c r="E81" s="82" t="n">
        <f aca="false">MAX(1_Assumptions!$F$124*1,E68*(1_Assumptions!$F$125-(1_Assumptions!$F$125-1_Assumptions!$F$126)*MIN((1-1)/54,1)))+5_Headcount!E60</f>
        <v>29417</v>
      </c>
      <c r="F81" s="82" t="n">
        <f aca="false">MAX(1_Assumptions!$F$124*1,F68*(1_Assumptions!$F$125-(1_Assumptions!$F$125-1_Assumptions!$F$126)*MIN((2-1)/54,1)))+5_Headcount!F60</f>
        <v>29417</v>
      </c>
      <c r="G81" s="92" t="n">
        <f aca="false">MAX(1_Assumptions!$F$124*1,G68*(1_Assumptions!$F$125-(1_Assumptions!$F$125-1_Assumptions!$F$126)*MIN((3-1)/54,1)))+5_Headcount!G60</f>
        <v>29417</v>
      </c>
      <c r="H81" s="82" t="n">
        <f aca="false">MAX(1_Assumptions!$F$124*1,H68*(1_Assumptions!$F$125-(1_Assumptions!$F$125-1_Assumptions!$F$126)*MIN((4-1)/54,1)))+5_Headcount!H60</f>
        <v>29693.7379870359</v>
      </c>
      <c r="I81" s="82" t="n">
        <f aca="false">MAX(1_Assumptions!$F$124*1,I68*(1_Assumptions!$F$125-(1_Assumptions!$F$125-1_Assumptions!$F$126)*MIN((5-1)/54,1)))+5_Headcount!I60</f>
        <v>35162.05096418</v>
      </c>
      <c r="J81" s="82" t="n">
        <f aca="false">MAX(1_Assumptions!$F$124*1,J68*(1_Assumptions!$F$125-(1_Assumptions!$F$125-1_Assumptions!$F$126)*MIN((6-1)/54,1)))+5_Headcount!J60</f>
        <v>35437.6678664758</v>
      </c>
      <c r="K81" s="82" t="n">
        <f aca="false">MAX(1_Assumptions!$F$124*1,K68*(1_Assumptions!$F$125-(1_Assumptions!$F$125-1_Assumptions!$F$126)*MIN((7-1)/54,1)))+5_Headcount!K60</f>
        <v>34768.2536764145</v>
      </c>
      <c r="L81" s="82" t="n">
        <f aca="false">MAX(1_Assumptions!$F$124*1,L68*(1_Assumptions!$F$125-(1_Assumptions!$F$125-1_Assumptions!$F$126)*MIN((8-1)/54,1)))+5_Headcount!L60</f>
        <v>41728.0286031939</v>
      </c>
      <c r="M81" s="82" t="n">
        <f aca="false">MAX(1_Assumptions!$F$124*1,M68*(1_Assumptions!$F$125-(1_Assumptions!$F$125-1_Assumptions!$F$126)*MIN((9-1)/54,1)))+5_Headcount!M60</f>
        <v>42162.6179679747</v>
      </c>
      <c r="N81" s="82" t="n">
        <f aca="false">MAX(1_Assumptions!$F$124*3,N68*(1_Assumptions!$F$125-(1_Assumptions!$F$125-1_Assumptions!$F$126)*MIN((10-1)/54,1)))+5_Headcount!N60</f>
        <v>173000.549096284</v>
      </c>
      <c r="O81" s="82" t="n">
        <f aca="false">MAX(1_Assumptions!$F$124*3,O68*(1_Assumptions!$F$125-(1_Assumptions!$F$125-1_Assumptions!$F$126)*MIN((13-1)/54,1)))+5_Headcount!O60</f>
        <v>219924.903411641</v>
      </c>
      <c r="P81" s="82" t="n">
        <f aca="false">MAX(1_Assumptions!$F$124*3,P68*(1_Assumptions!$F$125-(1_Assumptions!$F$125-1_Assumptions!$F$126)*MIN((16-1)/54,1)))+5_Headcount!P60</f>
        <v>269569.861149456</v>
      </c>
      <c r="Q81" s="82" t="n">
        <f aca="false">MAX(1_Assumptions!$F$124*3,Q68*(1_Assumptions!$F$125-(1_Assumptions!$F$125-1_Assumptions!$F$126)*MIN((19-1)/54,1)))+5_Headcount!Q60</f>
        <v>362222.62390212</v>
      </c>
      <c r="R81" s="82" t="n">
        <f aca="false">MAX(1_Assumptions!$F$124*3,R68*(1_Assumptions!$F$125-(1_Assumptions!$F$125-1_Assumptions!$F$126)*MIN((22-1)/54,1)))+5_Headcount!R60</f>
        <v>413514.34788901</v>
      </c>
      <c r="S81" s="82" t="n">
        <f aca="false">MAX(1_Assumptions!$F$124*3,S68*(1_Assumptions!$F$125-(1_Assumptions!$F$125-1_Assumptions!$F$126)*MIN((25-1)/54,1)))+5_Headcount!S60</f>
        <v>486982.641861627</v>
      </c>
      <c r="T81" s="82" t="n">
        <f aca="false">MAX(1_Assumptions!$F$124*3,T68*(1_Assumptions!$F$125-(1_Assumptions!$F$125-1_Assumptions!$F$126)*MIN((28-1)/54,1)))+5_Headcount!T60</f>
        <v>555114.3051492</v>
      </c>
      <c r="U81" s="82" t="n">
        <f aca="false">MAX(1_Assumptions!$F$124*3,U68*(1_Assumptions!$F$125-(1_Assumptions!$F$125-1_Assumptions!$F$126)*MIN((31-1)/54,1)))+5_Headcount!U60</f>
        <v>637789.514467879</v>
      </c>
      <c r="V81" s="82" t="n">
        <f aca="false">MAX(1_Assumptions!$F$124*3,V68*(1_Assumptions!$F$125-(1_Assumptions!$F$125-1_Assumptions!$F$126)*MIN((34-1)/54,1)))+5_Headcount!V60</f>
        <v>698351.227389829</v>
      </c>
      <c r="W81" s="82" t="n">
        <f aca="false">MAX(1_Assumptions!$F$124*3,W68*(1_Assumptions!$F$125-(1_Assumptions!$F$125-1_Assumptions!$F$126)*MIN((37-1)/54,1)))+5_Headcount!W60</f>
        <v>766216.145705972</v>
      </c>
      <c r="X81" s="82" t="n">
        <f aca="false">MAX(1_Assumptions!$F$124*3,X68*(1_Assumptions!$F$125-(1_Assumptions!$F$125-1_Assumptions!$F$126)*MIN((40-1)/54,1)))+5_Headcount!X60</f>
        <v>803097.277802367</v>
      </c>
      <c r="Y81" s="82" t="n">
        <f aca="false">MAX(1_Assumptions!$F$124*3,Y68*(1_Assumptions!$F$125-(1_Assumptions!$F$125-1_Assumptions!$F$126)*MIN((43-1)/54,1)))+5_Headcount!Y60</f>
        <v>846631.77776864</v>
      </c>
      <c r="Z81" s="82" t="n">
        <f aca="false">MAX(1_Assumptions!$F$124*3,Z68*(1_Assumptions!$F$125-(1_Assumptions!$F$125-1_Assumptions!$F$126)*MIN((46-1)/54,1)))+5_Headcount!Z60</f>
        <v>882798.242309074</v>
      </c>
      <c r="AA81" s="82" t="n">
        <f aca="false">MAX(1_Assumptions!$F$124*3,AA68*(1_Assumptions!$F$125-(1_Assumptions!$F$125-1_Assumptions!$F$126)*MIN((49-1)/54,1)))+5_Headcount!AA60</f>
        <v>917058.061954233</v>
      </c>
      <c r="AB81" s="82" t="n">
        <f aca="false">MAX(1_Assumptions!$F$124*3,AB68*(1_Assumptions!$F$125-(1_Assumptions!$F$125-1_Assumptions!$F$126)*MIN((52-1)/54,1)))+5_Headcount!AB60</f>
        <v>934244.401027984</v>
      </c>
      <c r="AC81" s="82" t="n">
        <f aca="false">MAX(1_Assumptions!$F$124*3,AC68*(1_Assumptions!$F$125-(1_Assumptions!$F$125-1_Assumptions!$F$126)*MIN((55-1)/54,1)))+5_Headcount!AC60</f>
        <v>948199.241320699</v>
      </c>
    </row>
    <row r="82" customFormat="false" ht="15" hidden="false" customHeight="true" outlineLevel="0" collapsed="false">
      <c r="A82" s="16"/>
      <c r="B82" s="17" t="s">
        <v>350</v>
      </c>
      <c r="C82" s="18" t="s">
        <v>311</v>
      </c>
      <c r="D82" s="16"/>
      <c r="E82" s="84" t="n">
        <f aca="false">E79+E80+E81</f>
        <v>68083.6666666667</v>
      </c>
      <c r="F82" s="84" t="n">
        <f aca="false">F79+F80+F81</f>
        <v>68083.6666666667</v>
      </c>
      <c r="G82" s="84" t="n">
        <f aca="false">G79+G80+G81</f>
        <v>68083.6666666667</v>
      </c>
      <c r="H82" s="84" t="n">
        <f aca="false">H79+H80+H81</f>
        <v>109834.920714745</v>
      </c>
      <c r="I82" s="84" t="n">
        <f aca="false">I79+I80+I81</f>
        <v>140920.925468313</v>
      </c>
      <c r="J82" s="84" t="n">
        <f aca="false">J79+J80+J81</f>
        <v>142531.733701281</v>
      </c>
      <c r="K82" s="84" t="n">
        <f aca="false">K79+K80+K81</f>
        <v>138770.484451274</v>
      </c>
      <c r="L82" s="84" t="n">
        <f aca="false">L79+L80+L81</f>
        <v>178424.343250678</v>
      </c>
      <c r="M82" s="84" t="n">
        <f aca="false">M79+M80+M81</f>
        <v>180970.753608952</v>
      </c>
      <c r="N82" s="84" t="n">
        <f aca="false">N79+N80+N81</f>
        <v>934951.924367979</v>
      </c>
      <c r="O82" s="84" t="n">
        <f aca="false">O79+O80+O81</f>
        <v>1199000.68807805</v>
      </c>
      <c r="P82" s="84" t="n">
        <f aca="false">P79+P80+P81</f>
        <v>1513572.7159405</v>
      </c>
      <c r="Q82" s="84" t="n">
        <f aca="false">Q79+Q80+Q81</f>
        <v>2021284.39501743</v>
      </c>
      <c r="R82" s="84" t="n">
        <f aca="false">R79+R80+R81</f>
        <v>2319964.24736168</v>
      </c>
      <c r="S82" s="84" t="n">
        <f aca="false">S79+S80+S81</f>
        <v>2773806.55400583</v>
      </c>
      <c r="T82" s="84" t="n">
        <f aca="false">T79+T80+T81</f>
        <v>3205306.90586277</v>
      </c>
      <c r="U82" s="84" t="n">
        <f aca="false">U79+U80+U81</f>
        <v>3723953.9339137</v>
      </c>
      <c r="V82" s="84" t="n">
        <f aca="false">V79+V80+V81</f>
        <v>4086110.89175533</v>
      </c>
      <c r="W82" s="84" t="n">
        <f aca="false">W79+W80+W81</f>
        <v>4496109.84670261</v>
      </c>
      <c r="X82" s="84" t="n">
        <f aca="false">X79+X80+X81</f>
        <v>4726102.61335019</v>
      </c>
      <c r="Y82" s="84" t="n">
        <f aca="false">Y79+Y80+Y81</f>
        <v>4998094.8174527</v>
      </c>
      <c r="Z82" s="84" t="n">
        <f aca="false">Z79+Z80+Z81</f>
        <v>5230102.19318998</v>
      </c>
      <c r="AA82" s="84" t="n">
        <f aca="false">AA79+AA80+AA81</f>
        <v>5455419.5192283</v>
      </c>
      <c r="AB82" s="84" t="n">
        <f aca="false">AB79+AB80+AB81</f>
        <v>5581479.57608419</v>
      </c>
      <c r="AC82" s="84" t="n">
        <f aca="false">AC79+AC80+AC81</f>
        <v>5691574.61042419</v>
      </c>
    </row>
    <row r="84" customFormat="false" ht="15" hidden="false" customHeight="true" outlineLevel="0" collapsed="false">
      <c r="A84" s="27"/>
      <c r="B84" s="28" t="s">
        <v>351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customFormat="false" ht="15" hidden="false" customHeight="true" outlineLevel="0" collapsed="false">
      <c r="A85" s="86"/>
      <c r="B85" s="87" t="s">
        <v>352</v>
      </c>
      <c r="C85" s="88" t="s">
        <v>311</v>
      </c>
      <c r="D85" s="89"/>
      <c r="E85" s="89" t="n">
        <f aca="false">E75-E82</f>
        <v>-56824.4266666667</v>
      </c>
      <c r="F85" s="89" t="n">
        <f aca="false">F75-F82</f>
        <v>-52333.5866666667</v>
      </c>
      <c r="G85" s="89" t="n">
        <f aca="false">G75-G82</f>
        <v>-40117.3986666667</v>
      </c>
      <c r="H85" s="89" t="n">
        <f aca="false">H75-H82</f>
        <v>-70108.2963580826</v>
      </c>
      <c r="I85" s="89" t="n">
        <f aca="false">I75-I82</f>
        <v>-70526.1986654608</v>
      </c>
      <c r="J85" s="89" t="n">
        <f aca="false">J75-J82</f>
        <v>-70046.3263970455</v>
      </c>
      <c r="K85" s="89" t="n">
        <f aca="false">K75-K82</f>
        <v>-69500.7791813918</v>
      </c>
      <c r="L85" s="89" t="n">
        <f aca="false">L75-L82</f>
        <v>-68210.2562985596</v>
      </c>
      <c r="M85" s="89" t="n">
        <f aca="false">M75-M82</f>
        <v>-67194.9623241876</v>
      </c>
      <c r="N85" s="89" t="n">
        <f aca="false">N75-N82</f>
        <v>-316531.729033571</v>
      </c>
      <c r="O85" s="89" t="n">
        <f aca="false">O75-O82</f>
        <v>-317190.477639871</v>
      </c>
      <c r="P85" s="89" t="n">
        <f aca="false">P75-P82</f>
        <v>-291274.012043682</v>
      </c>
      <c r="Q85" s="89" t="n">
        <f aca="false">Q75-Q82</f>
        <v>-344609.207339414</v>
      </c>
      <c r="R85" s="89" t="n">
        <f aca="false">R75-R82</f>
        <v>-248447.581786819</v>
      </c>
      <c r="S85" s="89" t="n">
        <f aca="false">S75-S82</f>
        <v>-196902.803406667</v>
      </c>
      <c r="T85" s="89" t="n">
        <f aca="false">T75-T82</f>
        <v>-54489.4828804969</v>
      </c>
      <c r="U85" s="89" t="n">
        <f aca="false">U75-U82</f>
        <v>148603.492336672</v>
      </c>
      <c r="V85" s="89" t="n">
        <f aca="false">V75-V82</f>
        <v>391993.275196743</v>
      </c>
      <c r="W85" s="89" t="n">
        <f aca="false">W75-W82</f>
        <v>601065.37342422</v>
      </c>
      <c r="X85" s="89" t="n">
        <f aca="false">X75-X82</f>
        <v>877512.597865717</v>
      </c>
      <c r="Y85" s="89" t="n">
        <f aca="false">Y75-Y82</f>
        <v>1209351.29746731</v>
      </c>
      <c r="Z85" s="89" t="n">
        <f aca="false">Z75-Z82</f>
        <v>1565727.36830361</v>
      </c>
      <c r="AA85" s="89" t="n">
        <f aca="false">AA75-AA82</f>
        <v>1846629.06074425</v>
      </c>
      <c r="AB85" s="89" t="n">
        <f aca="false">AB75-AB82</f>
        <v>2226070.31706556</v>
      </c>
      <c r="AC85" s="89" t="n">
        <f aca="false">AC75-AC82</f>
        <v>2637229.07311689</v>
      </c>
    </row>
    <row r="86" customFormat="false" ht="15" hidden="false" customHeight="true" outlineLevel="0" collapsed="false">
      <c r="A86" s="86"/>
      <c r="B86" s="87" t="s">
        <v>353</v>
      </c>
      <c r="C86" s="88" t="s">
        <v>304</v>
      </c>
      <c r="D86" s="93"/>
      <c r="E86" s="93" t="n">
        <f aca="false">IFERROR(E85/E68,0)</f>
        <v>-4.22609613111529</v>
      </c>
      <c r="F86" s="93" t="n">
        <f aca="false">IFERROR(F85/F68,0)</f>
        <v>-2.79953667000826</v>
      </c>
      <c r="G86" s="93" t="n">
        <f aca="false">IFERROR(G85/G68,0)</f>
        <v>-1.20116453046921</v>
      </c>
      <c r="H86" s="93" t="n">
        <f aca="false">IFERROR(H85/H68,0)</f>
        <v>-1.47522863018615</v>
      </c>
      <c r="I86" s="93" t="n">
        <f aca="false">IFERROR(I85/I68,0)</f>
        <v>-0.822848571022305</v>
      </c>
      <c r="J86" s="93" t="n">
        <f aca="false">IFERROR(J85/J68,0)</f>
        <v>-0.792339860876335</v>
      </c>
      <c r="K86" s="93" t="n">
        <f aca="false">IFERROR(K85/K68,0)</f>
        <v>-0.822461859059579</v>
      </c>
      <c r="L86" s="93" t="n">
        <f aca="false">IFERROR(L85/L68,0)</f>
        <v>-0.506511699792753</v>
      </c>
      <c r="M86" s="93" t="n">
        <f aca="false">IFERROR(M85/M68,0)</f>
        <v>-0.483314909806681</v>
      </c>
      <c r="N86" s="93" t="n">
        <f aca="false">IFERROR(N85/N68,0)</f>
        <v>-0.4180110706888</v>
      </c>
      <c r="O86" s="93" t="n">
        <f aca="false">IFERROR(O85/O68,0)</f>
        <v>-0.294404735833143</v>
      </c>
      <c r="P86" s="93" t="n">
        <f aca="false">IFERROR(P85/P68,0)</f>
        <v>-0.195518998479025</v>
      </c>
      <c r="Q86" s="93" t="n">
        <f aca="false">IFERROR(Q85/Q68,0)</f>
        <v>-0.168829629673374</v>
      </c>
      <c r="R86" s="93" t="n">
        <f aca="false">IFERROR(R85/R68,0)</f>
        <v>-0.0984505105432101</v>
      </c>
      <c r="S86" s="93" t="n">
        <f aca="false">IFERROR(S85/S68,0)</f>
        <v>-0.0627702756782126</v>
      </c>
      <c r="T86" s="93" t="n">
        <f aca="false">IFERROR(T85/T68,0)</f>
        <v>-0.0142069623542078</v>
      </c>
      <c r="U86" s="93" t="n">
        <f aca="false">IFERROR(U85/U68,0)</f>
        <v>0.0315257150731343</v>
      </c>
      <c r="V86" s="93" t="n">
        <f aca="false">IFERROR(V85/V68,0)</f>
        <v>0.0719318197599345</v>
      </c>
      <c r="W86" s="93" t="n">
        <f aca="false">IFERROR(W85/W68,0)</f>
        <v>0.0969304854498227</v>
      </c>
      <c r="X86" s="93" t="n">
        <f aca="false">IFERROR(X85/X68,0)</f>
        <v>0.128773975976607</v>
      </c>
      <c r="Y86" s="93" t="n">
        <f aca="false">IFERROR(Y85/Y68,0)</f>
        <v>0.160236597602235</v>
      </c>
      <c r="Z86" s="93" t="n">
        <f aca="false">IFERROR(Z85/Z68,0)</f>
        <v>0.189509111975965</v>
      </c>
      <c r="AA86" s="93" t="n">
        <f aca="false">IFERROR(AA85/AA68,0)</f>
        <v>0.208060501686607</v>
      </c>
      <c r="AB86" s="93" t="n">
        <f aca="false">IFERROR(AB85/AB68,0)</f>
        <v>0.234526678215648</v>
      </c>
      <c r="AC86" s="93" t="n">
        <f aca="false">IFERROR(AC85/AC68,0)</f>
        <v>0.260400259784511</v>
      </c>
    </row>
    <row r="87" customFormat="false" ht="15" hidden="false" customHeight="true" outlineLevel="0" collapsed="false">
      <c r="A87" s="21"/>
      <c r="B87" s="22" t="s">
        <v>354</v>
      </c>
      <c r="C87" s="23" t="s">
        <v>311</v>
      </c>
      <c r="D87" s="21"/>
      <c r="E87" s="82" t="n">
        <f aca="false">1_Assumptions!$F$141*1</f>
        <v>0</v>
      </c>
      <c r="F87" s="82" t="n">
        <f aca="false">1_Assumptions!$F$141*1</f>
        <v>0</v>
      </c>
      <c r="G87" s="92" t="n">
        <f aca="false">1_Assumptions!$F$141*1</f>
        <v>0</v>
      </c>
      <c r="H87" s="82" t="n">
        <f aca="false">1_Assumptions!$F$141*1</f>
        <v>0</v>
      </c>
      <c r="I87" s="82" t="n">
        <f aca="false">1_Assumptions!$F$141*1</f>
        <v>0</v>
      </c>
      <c r="J87" s="82" t="n">
        <f aca="false">1_Assumptions!$F$141*1</f>
        <v>0</v>
      </c>
      <c r="K87" s="82" t="n">
        <f aca="false">1_Assumptions!$F$141*1</f>
        <v>0</v>
      </c>
      <c r="L87" s="82" t="n">
        <f aca="false">1_Assumptions!$F$141*1</f>
        <v>0</v>
      </c>
      <c r="M87" s="82" t="n">
        <f aca="false">1_Assumptions!$F$141*1</f>
        <v>0</v>
      </c>
      <c r="N87" s="82" t="n">
        <f aca="false">1_Assumptions!$F$141*3</f>
        <v>0</v>
      </c>
      <c r="O87" s="82" t="n">
        <f aca="false">1_Assumptions!$F$141*3</f>
        <v>0</v>
      </c>
      <c r="P87" s="82" t="n">
        <f aca="false">1_Assumptions!$F$141*3</f>
        <v>0</v>
      </c>
      <c r="Q87" s="82" t="n">
        <f aca="false">1_Assumptions!$F$141*3</f>
        <v>0</v>
      </c>
      <c r="R87" s="82" t="n">
        <f aca="false">1_Assumptions!$F$141*3</f>
        <v>0</v>
      </c>
      <c r="S87" s="82" t="n">
        <f aca="false">1_Assumptions!$F$141*3</f>
        <v>0</v>
      </c>
      <c r="T87" s="82" t="n">
        <f aca="false">1_Assumptions!$F$141*3</f>
        <v>0</v>
      </c>
      <c r="U87" s="82" t="n">
        <f aca="false">1_Assumptions!$F$141*3</f>
        <v>0</v>
      </c>
      <c r="V87" s="82" t="n">
        <f aca="false">1_Assumptions!$F$141*3</f>
        <v>0</v>
      </c>
      <c r="W87" s="82" t="n">
        <f aca="false">1_Assumptions!$F$141*3</f>
        <v>0</v>
      </c>
      <c r="X87" s="82" t="n">
        <f aca="false">1_Assumptions!$F$141*3</f>
        <v>0</v>
      </c>
      <c r="Y87" s="82" t="n">
        <f aca="false">1_Assumptions!$F$141*3</f>
        <v>0</v>
      </c>
      <c r="Z87" s="82" t="n">
        <f aca="false">1_Assumptions!$F$141*3</f>
        <v>0</v>
      </c>
      <c r="AA87" s="82" t="n">
        <f aca="false">1_Assumptions!$F$141*3</f>
        <v>0</v>
      </c>
      <c r="AB87" s="82" t="n">
        <f aca="false">1_Assumptions!$F$141*3</f>
        <v>0</v>
      </c>
      <c r="AC87" s="82" t="n">
        <f aca="false">1_Assumptions!$F$141*3</f>
        <v>0</v>
      </c>
    </row>
    <row r="88" customFormat="false" ht="15" hidden="false" customHeight="true" outlineLevel="0" collapsed="false">
      <c r="A88" s="86"/>
      <c r="B88" s="87" t="s">
        <v>355</v>
      </c>
      <c r="C88" s="88" t="s">
        <v>311</v>
      </c>
      <c r="D88" s="89"/>
      <c r="E88" s="89" t="n">
        <f aca="false">E85-E87</f>
        <v>-56824.4266666667</v>
      </c>
      <c r="F88" s="89" t="n">
        <f aca="false">F85-F87</f>
        <v>-52333.5866666667</v>
      </c>
      <c r="G88" s="89" t="n">
        <f aca="false">G85-G87</f>
        <v>-40117.3986666667</v>
      </c>
      <c r="H88" s="89" t="n">
        <f aca="false">H85-H87</f>
        <v>-70108.2963580826</v>
      </c>
      <c r="I88" s="89" t="n">
        <f aca="false">I85-I87</f>
        <v>-70526.1986654608</v>
      </c>
      <c r="J88" s="89" t="n">
        <f aca="false">J85-J87</f>
        <v>-70046.3263970455</v>
      </c>
      <c r="K88" s="89" t="n">
        <f aca="false">K85-K87</f>
        <v>-69500.7791813918</v>
      </c>
      <c r="L88" s="89" t="n">
        <f aca="false">L85-L87</f>
        <v>-68210.2562985596</v>
      </c>
      <c r="M88" s="89" t="n">
        <f aca="false">M85-M87</f>
        <v>-67194.9623241876</v>
      </c>
      <c r="N88" s="89" t="n">
        <f aca="false">N85-N87</f>
        <v>-316531.729033571</v>
      </c>
      <c r="O88" s="89" t="n">
        <f aca="false">O85-O87</f>
        <v>-317190.477639871</v>
      </c>
      <c r="P88" s="89" t="n">
        <f aca="false">P85-P87</f>
        <v>-291274.012043682</v>
      </c>
      <c r="Q88" s="89" t="n">
        <f aca="false">Q85-Q87</f>
        <v>-344609.207339414</v>
      </c>
      <c r="R88" s="89" t="n">
        <f aca="false">R85-R87</f>
        <v>-248447.581786819</v>
      </c>
      <c r="S88" s="89" t="n">
        <f aca="false">S85-S87</f>
        <v>-196902.803406667</v>
      </c>
      <c r="T88" s="89" t="n">
        <f aca="false">T85-T87</f>
        <v>-54489.4828804969</v>
      </c>
      <c r="U88" s="89" t="n">
        <f aca="false">U85-U87</f>
        <v>148603.492336672</v>
      </c>
      <c r="V88" s="89" t="n">
        <f aca="false">V85-V87</f>
        <v>391993.275196743</v>
      </c>
      <c r="W88" s="89" t="n">
        <f aca="false">W85-W87</f>
        <v>601065.37342422</v>
      </c>
      <c r="X88" s="89" t="n">
        <f aca="false">X85-X87</f>
        <v>877512.597865717</v>
      </c>
      <c r="Y88" s="89" t="n">
        <f aca="false">Y85-Y87</f>
        <v>1209351.29746731</v>
      </c>
      <c r="Z88" s="89" t="n">
        <f aca="false">Z85-Z87</f>
        <v>1565727.36830361</v>
      </c>
      <c r="AA88" s="89" t="n">
        <f aca="false">AA85-AA87</f>
        <v>1846629.06074425</v>
      </c>
      <c r="AB88" s="89" t="n">
        <f aca="false">AB85-AB87</f>
        <v>2226070.31706556</v>
      </c>
      <c r="AC88" s="89" t="n">
        <f aca="false">AC85-AC87</f>
        <v>2637229.07311689</v>
      </c>
    </row>
    <row r="89" customFormat="false" ht="15" hidden="false" customHeight="true" outlineLevel="0" collapsed="false">
      <c r="A89" s="86"/>
      <c r="B89" s="87" t="s">
        <v>356</v>
      </c>
      <c r="C89" s="88" t="s">
        <v>311</v>
      </c>
      <c r="D89" s="93"/>
      <c r="E89" s="93" t="n">
        <f aca="false">IF(E88&gt;0,E88*1_Assumptions!$F$140,0)</f>
        <v>0</v>
      </c>
      <c r="F89" s="93" t="n">
        <f aca="false">IF(F88&gt;0,F88*1_Assumptions!$F$140,0)</f>
        <v>0</v>
      </c>
      <c r="G89" s="94" t="n">
        <f aca="false">IF(G88&gt;0,G88*1_Assumptions!$F$140,0)</f>
        <v>0</v>
      </c>
      <c r="H89" s="93" t="n">
        <f aca="false">IF(H88&gt;0,H88*1_Assumptions!$F$140,0)</f>
        <v>0</v>
      </c>
      <c r="I89" s="93" t="n">
        <f aca="false">IF(I88&gt;0,I88*1_Assumptions!$F$140,0)</f>
        <v>0</v>
      </c>
      <c r="J89" s="93" t="n">
        <f aca="false">IF(J88&gt;0,J88*1_Assumptions!$F$140,0)</f>
        <v>0</v>
      </c>
      <c r="K89" s="93" t="n">
        <f aca="false">IF(K88&gt;0,K88*1_Assumptions!$F$140,0)</f>
        <v>0</v>
      </c>
      <c r="L89" s="93" t="n">
        <f aca="false">IF(L88&gt;0,L88*1_Assumptions!$F$140,0)</f>
        <v>0</v>
      </c>
      <c r="M89" s="93" t="n">
        <f aca="false">IF(M88&gt;0,M88*1_Assumptions!$F$140,0)</f>
        <v>0</v>
      </c>
      <c r="N89" s="93" t="n">
        <f aca="false">IF(N88&gt;0,N88*1_Assumptions!$F$140,0)</f>
        <v>0</v>
      </c>
      <c r="O89" s="93" t="n">
        <f aca="false">IF(O88&gt;0,O88*1_Assumptions!$F$140,0)</f>
        <v>0</v>
      </c>
      <c r="P89" s="93" t="n">
        <f aca="false">IF(P88&gt;0,P88*1_Assumptions!$F$140,0)</f>
        <v>0</v>
      </c>
      <c r="Q89" s="93" t="n">
        <f aca="false">IF(Q88&gt;0,Q88*1_Assumptions!$F$140,0)</f>
        <v>0</v>
      </c>
      <c r="R89" s="93" t="n">
        <f aca="false">IF(R88&gt;0,R88*1_Assumptions!$F$140,0)</f>
        <v>0</v>
      </c>
      <c r="S89" s="93" t="n">
        <f aca="false">IF(S88&gt;0,S88*1_Assumptions!$F$140,0)</f>
        <v>0</v>
      </c>
      <c r="T89" s="93" t="n">
        <f aca="false">IF(T88&gt;0,T88*1_Assumptions!$F$140,0)</f>
        <v>0</v>
      </c>
      <c r="U89" s="93" t="n">
        <f aca="false">IF(U88&gt;0,U88*1_Assumptions!$F$140,0)</f>
        <v>37150.873084168</v>
      </c>
      <c r="V89" s="93" t="n">
        <f aca="false">IF(V88&gt;0,V88*1_Assumptions!$F$140,0)</f>
        <v>97998.3187991858</v>
      </c>
      <c r="W89" s="93" t="n">
        <f aca="false">IF(W88&gt;0,W88*1_Assumptions!$F$140,0)</f>
        <v>150266.343356055</v>
      </c>
      <c r="X89" s="93" t="n">
        <f aca="false">IF(X88&gt;0,X88*1_Assumptions!$F$140,0)</f>
        <v>219378.149466429</v>
      </c>
      <c r="Y89" s="93" t="n">
        <f aca="false">IF(Y88&gt;0,Y88*1_Assumptions!$F$140,0)</f>
        <v>302337.824366827</v>
      </c>
      <c r="Z89" s="93" t="n">
        <f aca="false">IF(Z88&gt;0,Z88*1_Assumptions!$F$140,0)</f>
        <v>391431.842075904</v>
      </c>
      <c r="AA89" s="93" t="n">
        <f aca="false">IF(AA88&gt;0,AA88*1_Assumptions!$F$140,0)</f>
        <v>461657.265186063</v>
      </c>
      <c r="AB89" s="93" t="n">
        <f aca="false">IF(AB88&gt;0,AB88*1_Assumptions!$F$140,0)</f>
        <v>556517.579266391</v>
      </c>
      <c r="AC89" s="93" t="n">
        <f aca="false">IF(AC88&gt;0,AC88*1_Assumptions!$F$140,0)</f>
        <v>659307.268279223</v>
      </c>
    </row>
    <row r="90" customFormat="false" ht="15" hidden="false" customHeight="true" outlineLevel="0" collapsed="false">
      <c r="A90" s="86"/>
      <c r="B90" s="87" t="s">
        <v>357</v>
      </c>
      <c r="C90" s="88" t="s">
        <v>311</v>
      </c>
      <c r="D90" s="89"/>
      <c r="E90" s="89" t="n">
        <f aca="false">E88-E89</f>
        <v>-56824.4266666667</v>
      </c>
      <c r="F90" s="89" t="n">
        <f aca="false">F88-F89</f>
        <v>-52333.5866666667</v>
      </c>
      <c r="G90" s="89" t="n">
        <f aca="false">G88-G89</f>
        <v>-40117.3986666667</v>
      </c>
      <c r="H90" s="89" t="n">
        <f aca="false">H88-H89</f>
        <v>-70108.2963580826</v>
      </c>
      <c r="I90" s="89" t="n">
        <f aca="false">I88-I89</f>
        <v>-70526.1986654608</v>
      </c>
      <c r="J90" s="89" t="n">
        <f aca="false">J88-J89</f>
        <v>-70046.3263970455</v>
      </c>
      <c r="K90" s="89" t="n">
        <f aca="false">K88-K89</f>
        <v>-69500.7791813918</v>
      </c>
      <c r="L90" s="89" t="n">
        <f aca="false">L88-L89</f>
        <v>-68210.2562985596</v>
      </c>
      <c r="M90" s="89" t="n">
        <f aca="false">M88-M89</f>
        <v>-67194.9623241876</v>
      </c>
      <c r="N90" s="89" t="n">
        <f aca="false">N88-N89</f>
        <v>-316531.729033571</v>
      </c>
      <c r="O90" s="89" t="n">
        <f aca="false">O88-O89</f>
        <v>-317190.477639871</v>
      </c>
      <c r="P90" s="89" t="n">
        <f aca="false">P88-P89</f>
        <v>-291274.012043682</v>
      </c>
      <c r="Q90" s="89" t="n">
        <f aca="false">Q88-Q89</f>
        <v>-344609.207339414</v>
      </c>
      <c r="R90" s="89" t="n">
        <f aca="false">R88-R89</f>
        <v>-248447.581786819</v>
      </c>
      <c r="S90" s="89" t="n">
        <f aca="false">S88-S89</f>
        <v>-196902.803406667</v>
      </c>
      <c r="T90" s="89" t="n">
        <f aca="false">T88-T89</f>
        <v>-54489.4828804969</v>
      </c>
      <c r="U90" s="89" t="n">
        <f aca="false">U88-U89</f>
        <v>111452.619252504</v>
      </c>
      <c r="V90" s="89" t="n">
        <f aca="false">V88-V89</f>
        <v>293994.956397557</v>
      </c>
      <c r="W90" s="89" t="n">
        <f aca="false">W88-W89</f>
        <v>450799.030068165</v>
      </c>
      <c r="X90" s="89" t="n">
        <f aca="false">X88-X89</f>
        <v>658134.448399287</v>
      </c>
      <c r="Y90" s="89" t="n">
        <f aca="false">Y88-Y89</f>
        <v>907013.473100481</v>
      </c>
      <c r="Z90" s="89" t="n">
        <f aca="false">Z88-Z89</f>
        <v>1174295.52622771</v>
      </c>
      <c r="AA90" s="89" t="n">
        <f aca="false">AA88-AA89</f>
        <v>1384971.79555819</v>
      </c>
      <c r="AB90" s="89" t="n">
        <f aca="false">AB88-AB89</f>
        <v>1669552.73779917</v>
      </c>
      <c r="AC90" s="89" t="n">
        <f aca="false">AC88-AC89</f>
        <v>1977921.80483767</v>
      </c>
    </row>
    <row r="92" customFormat="false" ht="15" hidden="false" customHeight="true" outlineLevel="0" collapsed="false">
      <c r="A92" s="27"/>
      <c r="B92" s="28" t="s">
        <v>358</v>
      </c>
      <c r="C92" s="27"/>
      <c r="D92" s="27"/>
      <c r="E92" s="27"/>
      <c r="F92" s="27"/>
      <c r="G92" s="27"/>
      <c r="H92" s="27"/>
      <c r="I92" s="27"/>
      <c r="J92" s="27"/>
    </row>
    <row r="93" customFormat="false" ht="15" hidden="false" customHeight="true" outlineLevel="0" collapsed="false">
      <c r="D93" s="20" t="s">
        <v>359</v>
      </c>
      <c r="E93" s="20" t="s">
        <v>360</v>
      </c>
      <c r="F93" s="20" t="s">
        <v>361</v>
      </c>
      <c r="G93" s="20" t="s">
        <v>362</v>
      </c>
      <c r="H93" s="20" t="s">
        <v>363</v>
      </c>
      <c r="I93" s="20" t="s">
        <v>364</v>
      </c>
      <c r="J93" s="20" t="s">
        <v>365</v>
      </c>
    </row>
    <row r="94" customFormat="false" ht="15" hidden="false" customHeight="true" outlineLevel="0" collapsed="false">
      <c r="A94" s="21"/>
      <c r="B94" s="22" t="s">
        <v>366</v>
      </c>
      <c r="C94" s="23" t="s">
        <v>311</v>
      </c>
      <c r="D94" s="85" t="n">
        <v>0</v>
      </c>
      <c r="E94" s="85" t="n">
        <v>15000</v>
      </c>
      <c r="F94" s="82" t="n">
        <f aca="false">SUM(E68:M68)</f>
        <v>645375.786378843</v>
      </c>
      <c r="G94" s="82" t="n">
        <f aca="false">SUM(N68:Q68)</f>
        <v>5365542.18531541</v>
      </c>
      <c r="H94" s="82" t="n">
        <f aca="false">SUM(R68:U68)</f>
        <v>14209588.2285058</v>
      </c>
      <c r="I94" s="82" t="n">
        <f aca="false">SUM(V68:Y68)</f>
        <v>26012153.6228846</v>
      </c>
      <c r="J94" s="82" t="n">
        <f aca="false">SUM(Z68:AC68)</f>
        <v>36756814.0133576</v>
      </c>
    </row>
    <row r="95" customFormat="false" ht="15" hidden="false" customHeight="true" outlineLevel="0" collapsed="false">
      <c r="A95" s="16"/>
      <c r="B95" s="17" t="s">
        <v>367</v>
      </c>
      <c r="C95" s="18" t="s">
        <v>311</v>
      </c>
      <c r="D95" s="83" t="n">
        <v>0</v>
      </c>
      <c r="E95" s="83" t="n">
        <v>0</v>
      </c>
      <c r="F95" s="84" t="n">
        <f aca="false">SUM(E50:M50)</f>
        <v>39780.5389473684</v>
      </c>
      <c r="G95" s="84" t="n">
        <f aca="false">SUM(N50:Q50)</f>
        <v>285279.086780569</v>
      </c>
      <c r="H95" s="84" t="n">
        <f aca="false">SUM(R50:U50)</f>
        <v>763820.988243747</v>
      </c>
      <c r="I95" s="84" t="n">
        <f aca="false">SUM(V50:Y50)</f>
        <v>1457821.82507752</v>
      </c>
      <c r="J95" s="84" t="n">
        <f aca="false">SUM(Z50:AC50)</f>
        <v>2106996.30837792</v>
      </c>
    </row>
    <row r="96" customFormat="false" ht="15" hidden="false" customHeight="true" outlineLevel="0" collapsed="false">
      <c r="A96" s="21"/>
      <c r="B96" s="22" t="s">
        <v>368</v>
      </c>
      <c r="C96" s="23" t="s">
        <v>311</v>
      </c>
      <c r="D96" s="85" t="n">
        <v>0</v>
      </c>
      <c r="E96" s="85" t="n">
        <v>0</v>
      </c>
      <c r="F96" s="82" t="n">
        <f aca="false">SUM(E56:M56)</f>
        <v>435042.342948044</v>
      </c>
      <c r="G96" s="82" t="n">
        <f aca="false">SUM(N56:Q56)</f>
        <v>4126060.79081848</v>
      </c>
      <c r="H96" s="82" t="n">
        <f aca="false">SUM(R56:U56)</f>
        <v>11345603.9161822</v>
      </c>
      <c r="I96" s="82" t="n">
        <f aca="false">SUM(V56:Y56)</f>
        <v>21189162.562001</v>
      </c>
      <c r="J96" s="82" t="n">
        <f aca="false">SUM(Z56:AC56)</f>
        <v>30344949.9038577</v>
      </c>
    </row>
    <row r="97" customFormat="false" ht="15" hidden="false" customHeight="true" outlineLevel="0" collapsed="false">
      <c r="A97" s="16"/>
      <c r="B97" s="17" t="s">
        <v>369</v>
      </c>
      <c r="C97" s="18" t="s">
        <v>311</v>
      </c>
      <c r="D97" s="83" t="n">
        <v>0</v>
      </c>
      <c r="E97" s="83" t="n">
        <v>0</v>
      </c>
      <c r="F97" s="84" t="n">
        <f aca="false">SUM(E42:M42)</f>
        <v>118952.904483431</v>
      </c>
      <c r="G97" s="84" t="n">
        <f aca="false">SUM(N42:Q42)</f>
        <v>481852.307716364</v>
      </c>
      <c r="H97" s="84" t="n">
        <f aca="false">SUM(R42:U42)</f>
        <v>875383.324079917</v>
      </c>
      <c r="I97" s="84" t="n">
        <f aca="false">SUM(V42:Y42)</f>
        <v>1148019.23580601</v>
      </c>
      <c r="J97" s="84" t="n">
        <f aca="false">SUM(Z42:AC42)</f>
        <v>1187777.80112202</v>
      </c>
    </row>
    <row r="98" customFormat="false" ht="15" hidden="false" customHeight="true" outlineLevel="0" collapsed="false">
      <c r="A98" s="21"/>
      <c r="B98" s="22" t="s">
        <v>370</v>
      </c>
      <c r="C98" s="23" t="s">
        <v>311</v>
      </c>
      <c r="D98" s="85" t="n">
        <v>0</v>
      </c>
      <c r="E98" s="85" t="n">
        <v>0</v>
      </c>
      <c r="F98" s="82" t="n">
        <f aca="false">SUM(E62:M62)</f>
        <v>51600</v>
      </c>
      <c r="G98" s="82" t="n">
        <f aca="false">SUM(N62:Q62)</f>
        <v>472350</v>
      </c>
      <c r="H98" s="82" t="n">
        <f aca="false">SUM(R62:U62)</f>
        <v>1224780</v>
      </c>
      <c r="I98" s="82" t="n">
        <f aca="false">SUM(V62:Y62)</f>
        <v>2217150</v>
      </c>
      <c r="J98" s="82" t="n">
        <f aca="false">SUM(Z62:AC62)</f>
        <v>3117090</v>
      </c>
    </row>
    <row r="99" customFormat="false" ht="15" hidden="false" customHeight="true" outlineLevel="0" collapsed="false">
      <c r="A99" s="16"/>
      <c r="B99" s="17" t="s">
        <v>343</v>
      </c>
      <c r="C99" s="18" t="s">
        <v>311</v>
      </c>
      <c r="D99" s="83" t="n">
        <v>0</v>
      </c>
      <c r="E99" s="83" t="n">
        <v>-2000</v>
      </c>
      <c r="F99" s="84" t="n">
        <f aca="false">SUM(E74:M74)</f>
        <v>114533.856408327</v>
      </c>
      <c r="G99" s="84" t="n">
        <f aca="false">SUM(N74:Q74)</f>
        <v>966337.887967996</v>
      </c>
      <c r="H99" s="84" t="n">
        <f aca="false">SUM(R74:U74)</f>
        <v>2537792.96309918</v>
      </c>
      <c r="I99" s="84" t="n">
        <f aca="false">SUM(V74:Y74)</f>
        <v>4625812.90966976</v>
      </c>
      <c r="J99" s="84" t="n">
        <f aca="false">SUM(Z74:AC74)</f>
        <v>6522582.29520061</v>
      </c>
    </row>
    <row r="100" customFormat="false" ht="15" hidden="false" customHeight="true" outlineLevel="0" collapsed="false">
      <c r="A100" s="86"/>
      <c r="B100" s="87" t="s">
        <v>344</v>
      </c>
      <c r="C100" s="88" t="s">
        <v>311</v>
      </c>
      <c r="D100" s="89" t="n">
        <v>0</v>
      </c>
      <c r="E100" s="89" t="n">
        <v>13000</v>
      </c>
      <c r="F100" s="89" t="n">
        <f aca="false">SUM(E75:M75)</f>
        <v>530841.929970516</v>
      </c>
      <c r="G100" s="89" t="n">
        <f aca="false">SUM(N75:Q75)</f>
        <v>4399204.29734742</v>
      </c>
      <c r="H100" s="89" t="n">
        <f aca="false">SUM(R75:U75)</f>
        <v>11671795.2654067</v>
      </c>
      <c r="I100" s="89" t="n">
        <f aca="false">SUM(V75:Y75)</f>
        <v>21386340.7132148</v>
      </c>
      <c r="J100" s="89" t="n">
        <f aca="false">SUM(Z75:AC75)</f>
        <v>30234231.718157</v>
      </c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</row>
    <row r="101" customFormat="false" ht="15" hidden="false" customHeight="true" outlineLevel="0" collapsed="false">
      <c r="A101" s="16"/>
      <c r="B101" s="17" t="s">
        <v>350</v>
      </c>
      <c r="C101" s="18" t="s">
        <v>311</v>
      </c>
      <c r="D101" s="83" t="n">
        <v>-120000</v>
      </c>
      <c r="E101" s="83" t="n">
        <v>-280000</v>
      </c>
      <c r="F101" s="84" t="n">
        <f aca="false">SUM(E82:M82)</f>
        <v>1095704.16119524</v>
      </c>
      <c r="G101" s="84" t="n">
        <f aca="false">SUM(N82:Q82)</f>
        <v>5668809.72340396</v>
      </c>
      <c r="H101" s="84" t="n">
        <f aca="false">SUM(R82:U82)</f>
        <v>12023031.641144</v>
      </c>
      <c r="I101" s="84" t="n">
        <f aca="false">SUM(V82:Y82)</f>
        <v>18306418.1692608</v>
      </c>
      <c r="J101" s="84" t="n">
        <f aca="false">SUM(Z82:AC82)</f>
        <v>21958575.8989267</v>
      </c>
    </row>
    <row r="102" customFormat="false" ht="15" hidden="false" customHeight="true" outlineLevel="0" collapsed="false">
      <c r="A102" s="86"/>
      <c r="B102" s="87" t="s">
        <v>352</v>
      </c>
      <c r="C102" s="88" t="s">
        <v>311</v>
      </c>
      <c r="D102" s="89" t="n">
        <v>-120000</v>
      </c>
      <c r="E102" s="89" t="n">
        <v>-267000</v>
      </c>
      <c r="F102" s="89" t="n">
        <f aca="false">SUM(E85:M85)</f>
        <v>-564862.231224728</v>
      </c>
      <c r="G102" s="89" t="n">
        <f aca="false">SUM(N85:Q85)</f>
        <v>-1269605.42605654</v>
      </c>
      <c r="H102" s="89" t="n">
        <f aca="false">SUM(R85:U85)</f>
        <v>-351236.375737311</v>
      </c>
      <c r="I102" s="89" t="n">
        <f aca="false">SUM(V85:Y85)</f>
        <v>3079922.54395399</v>
      </c>
      <c r="J102" s="89" t="n">
        <f aca="false">SUM(Z85:AC85)</f>
        <v>8275655.81923032</v>
      </c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</row>
    <row r="103" customFormat="false" ht="15" hidden="false" customHeight="true" outlineLevel="0" collapsed="false">
      <c r="A103" s="16"/>
      <c r="B103" s="17" t="s">
        <v>371</v>
      </c>
      <c r="C103" s="18" t="s">
        <v>311</v>
      </c>
      <c r="D103" s="83" t="n">
        <v>-5000</v>
      </c>
      <c r="E103" s="83" t="n">
        <v>-8000</v>
      </c>
      <c r="F103" s="84" t="n">
        <f aca="false">SUM(E87:M87)</f>
        <v>0</v>
      </c>
      <c r="G103" s="84" t="n">
        <f aca="false">SUM(N87:Q87)</f>
        <v>0</v>
      </c>
      <c r="H103" s="84" t="n">
        <f aca="false">SUM(R87:U87)</f>
        <v>0</v>
      </c>
      <c r="I103" s="84" t="n">
        <f aca="false">SUM(V87:Y87)</f>
        <v>0</v>
      </c>
      <c r="J103" s="84" t="n">
        <f aca="false">SUM(Z87:AC87)</f>
        <v>0</v>
      </c>
    </row>
    <row r="104" customFormat="false" ht="15" hidden="false" customHeight="true" outlineLevel="0" collapsed="false">
      <c r="A104" s="21"/>
      <c r="B104" s="22" t="s">
        <v>372</v>
      </c>
      <c r="C104" s="23" t="s">
        <v>311</v>
      </c>
      <c r="D104" s="85" t="n">
        <v>-125000</v>
      </c>
      <c r="E104" s="85" t="n">
        <v>-275000</v>
      </c>
      <c r="F104" s="82" t="n">
        <f aca="false">SUM(E88:M88)</f>
        <v>-564862.231224728</v>
      </c>
      <c r="G104" s="82" t="n">
        <f aca="false">SUM(N88:Q88)</f>
        <v>-1269605.42605654</v>
      </c>
      <c r="H104" s="82" t="n">
        <f aca="false">SUM(R88:U88)</f>
        <v>-351236.375737311</v>
      </c>
      <c r="I104" s="82" t="n">
        <f aca="false">SUM(V88:Y88)</f>
        <v>3079922.54395399</v>
      </c>
      <c r="J104" s="82" t="n">
        <f aca="false">SUM(Z88:AC88)</f>
        <v>8275655.81923032</v>
      </c>
    </row>
    <row r="105" customFormat="false" ht="15" hidden="false" customHeight="true" outlineLevel="0" collapsed="false">
      <c r="A105" s="16"/>
      <c r="B105" s="17" t="s">
        <v>373</v>
      </c>
      <c r="C105" s="18" t="s">
        <v>311</v>
      </c>
      <c r="D105" s="83" t="n">
        <v>0</v>
      </c>
      <c r="E105" s="83" t="n">
        <v>0</v>
      </c>
      <c r="F105" s="84" t="n">
        <f aca="false">SUM(E89:M89)</f>
        <v>0</v>
      </c>
      <c r="G105" s="84" t="n">
        <f aca="false">SUM(N89:Q89)</f>
        <v>0</v>
      </c>
      <c r="H105" s="84" t="n">
        <f aca="false">SUM(R89:U89)</f>
        <v>37150.873084168</v>
      </c>
      <c r="I105" s="84" t="n">
        <f aca="false">SUM(V89:Y89)</f>
        <v>769980.635988497</v>
      </c>
      <c r="J105" s="84" t="n">
        <f aca="false">SUM(Z89:AC89)</f>
        <v>2068913.95480758</v>
      </c>
    </row>
    <row r="106" customFormat="false" ht="15" hidden="false" customHeight="true" outlineLevel="0" collapsed="false">
      <c r="A106" s="86"/>
      <c r="B106" s="87" t="s">
        <v>374</v>
      </c>
      <c r="C106" s="88" t="s">
        <v>311</v>
      </c>
      <c r="D106" s="89" t="n">
        <v>-125000</v>
      </c>
      <c r="E106" s="89" t="n">
        <v>-275000</v>
      </c>
      <c r="F106" s="89" t="n">
        <f aca="false">SUM(E90:M90)</f>
        <v>-564862.231224728</v>
      </c>
      <c r="G106" s="89" t="n">
        <f aca="false">SUM(N90:Q90)</f>
        <v>-1269605.42605654</v>
      </c>
      <c r="H106" s="89" t="n">
        <f aca="false">SUM(R90:U90)</f>
        <v>-388387.248821479</v>
      </c>
      <c r="I106" s="89" t="n">
        <f aca="false">SUM(V90:Y90)</f>
        <v>2309941.90796549</v>
      </c>
      <c r="J106" s="89" t="n">
        <f aca="false">SUM(Z90:AC90)</f>
        <v>6206741.86442274</v>
      </c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</row>
    <row r="107" customFormat="false" ht="15" hidden="false" customHeight="true" outlineLevel="0" collapsed="false">
      <c r="A107" s="16"/>
      <c r="B107" s="17" t="s">
        <v>345</v>
      </c>
      <c r="C107" s="18" t="s">
        <v>304</v>
      </c>
      <c r="D107" s="42" t="n">
        <f aca="false">IFERROR(D100/D94,0)</f>
        <v>0</v>
      </c>
      <c r="E107" s="42" t="n">
        <f aca="false">IFERROR(E100/E94,0)</f>
        <v>0.866666666666667</v>
      </c>
      <c r="F107" s="42" t="n">
        <f aca="false">IFERROR(F100/F94,0)</f>
        <v>0.822531525313386</v>
      </c>
      <c r="G107" s="42" t="n">
        <f aca="false">IFERROR(G100/G94,0)</f>
        <v>0.819899302886351</v>
      </c>
      <c r="H107" s="42" t="n">
        <f aca="false">IFERROR(H100/H94,0)</f>
        <v>0.821402779426914</v>
      </c>
      <c r="I107" s="42" t="n">
        <f aca="false">IFERROR(I100/I94,0)</f>
        <v>0.822167246252147</v>
      </c>
      <c r="J107" s="42" t="n">
        <f aca="false">IFERROR(J100/J94,0)</f>
        <v>0.822547669859791</v>
      </c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customFormat="false" ht="15" hidden="false" customHeight="true" outlineLevel="0" collapsed="false">
      <c r="A108" s="86"/>
      <c r="B108" s="87" t="s">
        <v>353</v>
      </c>
      <c r="C108" s="88" t="s">
        <v>304</v>
      </c>
      <c r="D108" s="93" t="n">
        <f aca="false">IFERROR(D102/D94,0)</f>
        <v>0</v>
      </c>
      <c r="E108" s="93" t="n">
        <f aca="false">IFERROR(E102/E94,0)</f>
        <v>-17.8</v>
      </c>
      <c r="F108" s="93" t="n">
        <f aca="false">IFERROR(F102/F94,0)</f>
        <v>-0.875245466512045</v>
      </c>
      <c r="G108" s="93" t="n">
        <f aca="false">IFERROR(G102/G94,0)</f>
        <v>-0.236622019212007</v>
      </c>
      <c r="H108" s="93" t="n">
        <f aca="false">IFERROR(H102/H94,0)</f>
        <v>-0.0247182655886323</v>
      </c>
      <c r="I108" s="93" t="n">
        <f aca="false">IFERROR(I102/I94,0)</f>
        <v>0.118403212152506</v>
      </c>
      <c r="J108" s="93" t="n">
        <f aca="false">IFERROR(J102/J94,0)</f>
        <v>0.225146167897547</v>
      </c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 customFormat="false" ht="15" hidden="false" customHeight="true" outlineLevel="0" collapsed="false">
      <c r="A109" s="16"/>
      <c r="B109" s="17" t="s">
        <v>375</v>
      </c>
      <c r="C109" s="18" t="s">
        <v>311</v>
      </c>
      <c r="D109" s="83" t="n">
        <v>0</v>
      </c>
      <c r="E109" s="83" t="n">
        <v>0</v>
      </c>
      <c r="F109" s="84" t="n">
        <f aca="false">M66</f>
        <v>1323614.30173216</v>
      </c>
      <c r="G109" s="84" t="n">
        <f aca="false">Q66</f>
        <v>6826641.82119646</v>
      </c>
      <c r="H109" s="84" t="n">
        <f aca="false">U66</f>
        <v>16104848.3514596</v>
      </c>
      <c r="I109" s="84" t="n">
        <f aca="false">Y66</f>
        <v>26447930.7318735</v>
      </c>
      <c r="J109" s="84" t="n">
        <f aca="false">AC66</f>
        <v>35843269.5479049</v>
      </c>
    </row>
    <row r="110" customFormat="false" ht="15" hidden="false" customHeight="true" outlineLevel="0" collapsed="false">
      <c r="A110" s="21"/>
      <c r="B110" s="22" t="s">
        <v>376</v>
      </c>
      <c r="C110" s="23" t="s">
        <v>287</v>
      </c>
      <c r="D110" s="24" t="n">
        <v>0</v>
      </c>
      <c r="E110" s="24" t="n">
        <v>3</v>
      </c>
      <c r="F110" s="22" t="n">
        <f aca="false">M27</f>
        <v>27</v>
      </c>
      <c r="G110" s="22" t="n">
        <f aca="false">Q27</f>
        <v>86</v>
      </c>
      <c r="H110" s="22" t="n">
        <f aca="false">U27</f>
        <v>182</v>
      </c>
      <c r="I110" s="22" t="n">
        <f aca="false">Y27</f>
        <v>282</v>
      </c>
      <c r="J110" s="22" t="n">
        <f aca="false">AC27</f>
        <v>363</v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4" ySplit="3" topLeftCell="N19" activePane="bottomRight" state="frozen"/>
      <selection pane="topLeft" activeCell="A1" activeCellId="0" sqref="A1"/>
      <selection pane="topRight" activeCell="N1" activeCellId="0" sqref="N1"/>
      <selection pane="bottomLeft" activeCell="A19" activeCellId="0" sqref="A19"/>
      <selection pane="bottomRight" activeCell="S26" activeCellId="0" sqref="S26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29" min="5" style="1" width="13"/>
  </cols>
  <sheetData>
    <row r="1" customFormat="false" ht="15" hidden="false" customHeight="true" outlineLevel="0" collapsed="false">
      <c r="A1" s="7" t="s">
        <v>377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E2" s="97" t="s">
        <v>378</v>
      </c>
      <c r="F2" s="97"/>
      <c r="G2" s="97"/>
      <c r="H2" s="97"/>
      <c r="I2" s="97"/>
      <c r="J2" s="97"/>
      <c r="K2" s="97"/>
      <c r="L2" s="97"/>
      <c r="M2" s="97"/>
      <c r="N2" s="97" t="s">
        <v>379</v>
      </c>
      <c r="O2" s="97"/>
      <c r="P2" s="97"/>
      <c r="Q2" s="97"/>
      <c r="R2" s="97" t="s">
        <v>257</v>
      </c>
      <c r="S2" s="97"/>
      <c r="T2" s="97"/>
      <c r="U2" s="97"/>
      <c r="V2" s="97" t="s">
        <v>258</v>
      </c>
      <c r="W2" s="97"/>
      <c r="X2" s="97"/>
      <c r="Y2" s="97"/>
      <c r="Z2" s="97" t="s">
        <v>259</v>
      </c>
      <c r="AA2" s="97"/>
      <c r="AB2" s="97"/>
      <c r="AC2" s="97"/>
    </row>
    <row r="3" customFormat="false" ht="15" hidden="false" customHeight="true" outlineLevel="0" collapsed="false">
      <c r="A3" s="9"/>
      <c r="B3" s="10" t="s">
        <v>380</v>
      </c>
      <c r="C3" s="69" t="s">
        <v>261</v>
      </c>
      <c r="D3" s="9"/>
      <c r="E3" s="70" t="s">
        <v>263</v>
      </c>
      <c r="F3" s="70" t="s">
        <v>264</v>
      </c>
      <c r="G3" s="70" t="s">
        <v>265</v>
      </c>
      <c r="H3" s="70" t="s">
        <v>266</v>
      </c>
      <c r="I3" s="70" t="s">
        <v>267</v>
      </c>
      <c r="J3" s="70" t="s">
        <v>268</v>
      </c>
      <c r="K3" s="70" t="s">
        <v>269</v>
      </c>
      <c r="L3" s="70" t="s">
        <v>270</v>
      </c>
      <c r="M3" s="70" t="s">
        <v>271</v>
      </c>
      <c r="N3" s="70" t="s">
        <v>272</v>
      </c>
      <c r="O3" s="70" t="s">
        <v>273</v>
      </c>
      <c r="P3" s="70" t="s">
        <v>274</v>
      </c>
      <c r="Q3" s="70" t="s">
        <v>275</v>
      </c>
      <c r="R3" s="70" t="s">
        <v>272</v>
      </c>
      <c r="S3" s="70" t="s">
        <v>273</v>
      </c>
      <c r="T3" s="70" t="s">
        <v>274</v>
      </c>
      <c r="U3" s="70" t="s">
        <v>275</v>
      </c>
      <c r="V3" s="70" t="s">
        <v>272</v>
      </c>
      <c r="W3" s="70" t="s">
        <v>273</v>
      </c>
      <c r="X3" s="70" t="s">
        <v>274</v>
      </c>
      <c r="Y3" s="70" t="s">
        <v>275</v>
      </c>
      <c r="Z3" s="70" t="s">
        <v>272</v>
      </c>
      <c r="AA3" s="70" t="s">
        <v>273</v>
      </c>
      <c r="AB3" s="70" t="s">
        <v>274</v>
      </c>
      <c r="AC3" s="70" t="s">
        <v>275</v>
      </c>
    </row>
    <row r="5" customFormat="false" ht="15" hidden="false" customHeight="true" outlineLevel="0" collapsed="false">
      <c r="B5" s="15" t="s">
        <v>381</v>
      </c>
      <c r="C5" s="15" t="s">
        <v>311</v>
      </c>
      <c r="D5" s="15" t="n">
        <v>3000000</v>
      </c>
      <c r="G5" s="15" t="s">
        <v>382</v>
      </c>
    </row>
    <row r="7" customFormat="false" ht="15" hidden="false" customHeight="true" outlineLevel="0" collapsed="false">
      <c r="A7" s="27"/>
      <c r="B7" s="28" t="s">
        <v>383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customFormat="false" ht="15" hidden="false" customHeight="true" outlineLevel="0" collapsed="false">
      <c r="A8" s="21"/>
      <c r="B8" s="22" t="s">
        <v>384</v>
      </c>
      <c r="C8" s="23" t="s">
        <v>311</v>
      </c>
      <c r="D8" s="21"/>
      <c r="E8" s="82" t="n">
        <f aca="false">2_Projections!E88</f>
        <v>-56824.4266666667</v>
      </c>
      <c r="F8" s="82" t="n">
        <f aca="false">2_Projections!F88</f>
        <v>-52333.5866666667</v>
      </c>
      <c r="G8" s="82" t="n">
        <f aca="false">2_Projections!G88</f>
        <v>-40117.3986666667</v>
      </c>
      <c r="H8" s="82" t="n">
        <f aca="false">2_Projections!H88</f>
        <v>-70108.2963580826</v>
      </c>
      <c r="I8" s="82" t="n">
        <f aca="false">2_Projections!I88</f>
        <v>-70526.1986654608</v>
      </c>
      <c r="J8" s="82" t="n">
        <f aca="false">2_Projections!J88</f>
        <v>-70046.3263970455</v>
      </c>
      <c r="K8" s="82" t="n">
        <f aca="false">2_Projections!K88</f>
        <v>-69500.7791813918</v>
      </c>
      <c r="L8" s="82" t="n">
        <f aca="false">2_Projections!L88</f>
        <v>-68210.2562985596</v>
      </c>
      <c r="M8" s="82" t="n">
        <f aca="false">2_Projections!M88</f>
        <v>-67194.9623241876</v>
      </c>
      <c r="N8" s="82" t="n">
        <f aca="false">2_Projections!N88</f>
        <v>-316531.729033571</v>
      </c>
      <c r="O8" s="82" t="n">
        <f aca="false">2_Projections!O88</f>
        <v>-317190.477639871</v>
      </c>
      <c r="P8" s="82" t="n">
        <f aca="false">2_Projections!P88</f>
        <v>-291274.012043682</v>
      </c>
      <c r="Q8" s="82" t="n">
        <f aca="false">2_Projections!Q88</f>
        <v>-344609.207339414</v>
      </c>
      <c r="R8" s="82" t="n">
        <f aca="false">2_Projections!R88</f>
        <v>-248447.581786819</v>
      </c>
      <c r="S8" s="82" t="n">
        <f aca="false">2_Projections!S88</f>
        <v>-196902.803406667</v>
      </c>
      <c r="T8" s="82" t="n">
        <f aca="false">2_Projections!T88</f>
        <v>-54489.4828804969</v>
      </c>
      <c r="U8" s="82" t="n">
        <f aca="false">2_Projections!U88</f>
        <v>148603.492336672</v>
      </c>
      <c r="V8" s="82" t="n">
        <f aca="false">2_Projections!V88</f>
        <v>391993.275196743</v>
      </c>
      <c r="W8" s="82" t="n">
        <f aca="false">2_Projections!W88</f>
        <v>601065.37342422</v>
      </c>
      <c r="X8" s="82" t="n">
        <f aca="false">2_Projections!X88</f>
        <v>877512.597865717</v>
      </c>
      <c r="Y8" s="82" t="n">
        <f aca="false">2_Projections!Y88</f>
        <v>1209351.29746731</v>
      </c>
      <c r="Z8" s="82" t="n">
        <f aca="false">2_Projections!Z88</f>
        <v>1565727.36830361</v>
      </c>
      <c r="AA8" s="82" t="n">
        <f aca="false">2_Projections!AA88</f>
        <v>1846629.06074425</v>
      </c>
      <c r="AB8" s="82" t="n">
        <f aca="false">2_Projections!AB88</f>
        <v>2226070.31706556</v>
      </c>
      <c r="AC8" s="82" t="n">
        <f aca="false">2_Projections!AC88</f>
        <v>2637229.07311689</v>
      </c>
    </row>
    <row r="9" customFormat="false" ht="15" hidden="false" customHeight="true" outlineLevel="0" collapsed="false">
      <c r="A9" s="16"/>
      <c r="B9" s="17" t="s">
        <v>385</v>
      </c>
      <c r="C9" s="18" t="s">
        <v>311</v>
      </c>
      <c r="D9" s="16"/>
      <c r="E9" s="84" t="n">
        <f aca="false">2_Projections!E89</f>
        <v>0</v>
      </c>
      <c r="F9" s="84" t="n">
        <f aca="false">2_Projections!F89</f>
        <v>0</v>
      </c>
      <c r="G9" s="84" t="n">
        <f aca="false">2_Projections!G89</f>
        <v>0</v>
      </c>
      <c r="H9" s="84" t="n">
        <f aca="false">2_Projections!H89</f>
        <v>0</v>
      </c>
      <c r="I9" s="84" t="n">
        <f aca="false">2_Projections!I89</f>
        <v>0</v>
      </c>
      <c r="J9" s="84" t="n">
        <f aca="false">2_Projections!J89</f>
        <v>0</v>
      </c>
      <c r="K9" s="84" t="n">
        <f aca="false">2_Projections!K89</f>
        <v>0</v>
      </c>
      <c r="L9" s="84" t="n">
        <f aca="false">2_Projections!L89</f>
        <v>0</v>
      </c>
      <c r="M9" s="84" t="n">
        <f aca="false">2_Projections!M89</f>
        <v>0</v>
      </c>
      <c r="N9" s="84" t="n">
        <f aca="false">2_Projections!N89</f>
        <v>0</v>
      </c>
      <c r="O9" s="84" t="n">
        <f aca="false">2_Projections!O89</f>
        <v>0</v>
      </c>
      <c r="P9" s="84" t="n">
        <f aca="false">2_Projections!P89</f>
        <v>0</v>
      </c>
      <c r="Q9" s="84" t="n">
        <f aca="false">2_Projections!Q89</f>
        <v>0</v>
      </c>
      <c r="R9" s="84" t="n">
        <f aca="false">2_Projections!R89</f>
        <v>0</v>
      </c>
      <c r="S9" s="84" t="n">
        <f aca="false">2_Projections!S89</f>
        <v>0</v>
      </c>
      <c r="T9" s="84" t="n">
        <f aca="false">2_Projections!T89</f>
        <v>0</v>
      </c>
      <c r="U9" s="84" t="n">
        <f aca="false">2_Projections!U89</f>
        <v>37150.873084168</v>
      </c>
      <c r="V9" s="84" t="n">
        <f aca="false">2_Projections!V89</f>
        <v>97998.3187991858</v>
      </c>
      <c r="W9" s="84" t="n">
        <f aca="false">2_Projections!W89</f>
        <v>150266.343356055</v>
      </c>
      <c r="X9" s="84" t="n">
        <f aca="false">2_Projections!X89</f>
        <v>219378.149466429</v>
      </c>
      <c r="Y9" s="84" t="n">
        <f aca="false">2_Projections!Y89</f>
        <v>302337.824366827</v>
      </c>
      <c r="Z9" s="84" t="n">
        <f aca="false">2_Projections!Z89</f>
        <v>391431.842075904</v>
      </c>
      <c r="AA9" s="84" t="n">
        <f aca="false">2_Projections!AA89</f>
        <v>461657.265186063</v>
      </c>
      <c r="AB9" s="84" t="n">
        <f aca="false">2_Projections!AB89</f>
        <v>556517.579266391</v>
      </c>
      <c r="AC9" s="84" t="n">
        <f aca="false">2_Projections!AC89</f>
        <v>659307.268279223</v>
      </c>
    </row>
    <row r="10" customFormat="false" ht="15" hidden="false" customHeight="true" outlineLevel="0" collapsed="false">
      <c r="A10" s="21"/>
      <c r="B10" s="22" t="s">
        <v>386</v>
      </c>
      <c r="C10" s="23" t="s">
        <v>311</v>
      </c>
      <c r="D10" s="21"/>
      <c r="E10" s="82" t="n">
        <f aca="false">2_Projections!E87</f>
        <v>0</v>
      </c>
      <c r="F10" s="82" t="n">
        <f aca="false">2_Projections!F87</f>
        <v>0</v>
      </c>
      <c r="G10" s="82" t="n">
        <f aca="false">2_Projections!G87</f>
        <v>0</v>
      </c>
      <c r="H10" s="82" t="n">
        <f aca="false">2_Projections!H87</f>
        <v>0</v>
      </c>
      <c r="I10" s="82" t="n">
        <f aca="false">2_Projections!I87</f>
        <v>0</v>
      </c>
      <c r="J10" s="82" t="n">
        <f aca="false">2_Projections!J87</f>
        <v>0</v>
      </c>
      <c r="K10" s="82" t="n">
        <f aca="false">2_Projections!K87</f>
        <v>0</v>
      </c>
      <c r="L10" s="82" t="n">
        <f aca="false">2_Projections!L87</f>
        <v>0</v>
      </c>
      <c r="M10" s="82" t="n">
        <f aca="false">2_Projections!M87</f>
        <v>0</v>
      </c>
      <c r="N10" s="82" t="n">
        <f aca="false">2_Projections!N87</f>
        <v>0</v>
      </c>
      <c r="O10" s="82" t="n">
        <f aca="false">2_Projections!O87</f>
        <v>0</v>
      </c>
      <c r="P10" s="82" t="n">
        <f aca="false">2_Projections!P87</f>
        <v>0</v>
      </c>
      <c r="Q10" s="82" t="n">
        <f aca="false">2_Projections!Q87</f>
        <v>0</v>
      </c>
      <c r="R10" s="82" t="n">
        <f aca="false">2_Projections!R87</f>
        <v>0</v>
      </c>
      <c r="S10" s="82" t="n">
        <f aca="false">2_Projections!S87</f>
        <v>0</v>
      </c>
      <c r="T10" s="82" t="n">
        <f aca="false">2_Projections!T87</f>
        <v>0</v>
      </c>
      <c r="U10" s="82" t="n">
        <f aca="false">2_Projections!U87</f>
        <v>0</v>
      </c>
      <c r="V10" s="82" t="n">
        <f aca="false">2_Projections!V87</f>
        <v>0</v>
      </c>
      <c r="W10" s="82" t="n">
        <f aca="false">2_Projections!W87</f>
        <v>0</v>
      </c>
      <c r="X10" s="82" t="n">
        <f aca="false">2_Projections!X87</f>
        <v>0</v>
      </c>
      <c r="Y10" s="82" t="n">
        <f aca="false">2_Projections!Y87</f>
        <v>0</v>
      </c>
      <c r="Z10" s="82" t="n">
        <f aca="false">2_Projections!Z87</f>
        <v>0</v>
      </c>
      <c r="AA10" s="82" t="n">
        <f aca="false">2_Projections!AA87</f>
        <v>0</v>
      </c>
      <c r="AB10" s="82" t="n">
        <f aca="false">2_Projections!AB87</f>
        <v>0</v>
      </c>
      <c r="AC10" s="82" t="n">
        <f aca="false">2_Projections!AC87</f>
        <v>0</v>
      </c>
    </row>
    <row r="11" customFormat="false" ht="15" hidden="false" customHeight="true" outlineLevel="0" collapsed="false">
      <c r="A11" s="16"/>
      <c r="B11" s="17" t="s">
        <v>387</v>
      </c>
      <c r="C11" s="18" t="s">
        <v>311</v>
      </c>
      <c r="D11" s="16"/>
      <c r="E11" s="84" t="n">
        <f aca="false">2_Projections!E68*(12/1)*1_Assumptions!$F$136/360</f>
        <v>13446.08</v>
      </c>
      <c r="F11" s="84" t="n">
        <f aca="false">2_Projections!F68*(12/1)*1_Assumptions!$F$136/360</f>
        <v>18693.66</v>
      </c>
      <c r="G11" s="91" t="n">
        <f aca="false">2_Projections!G68*(12/1)*1_Assumptions!$F$136/360</f>
        <v>33398.754</v>
      </c>
      <c r="H11" s="84" t="n">
        <f aca="false">2_Projections!H68*(12/1)*1_Assumptions!$F$136/360</f>
        <v>47523.68204055</v>
      </c>
      <c r="I11" s="84" t="n">
        <f aca="false">2_Projections!I68*(12/1)*1_Assumptions!$F$136/360</f>
        <v>85709.8148421638</v>
      </c>
      <c r="J11" s="84" t="n">
        <f aca="false">2_Projections!J68*(12/1)*1_Assumptions!$F$136/360</f>
        <v>88404.3954567345</v>
      </c>
      <c r="K11" s="84" t="n">
        <f aca="false">2_Projections!K68*(12/1)*1_Assumptions!$F$136/360</f>
        <v>84503.3461622895</v>
      </c>
      <c r="L11" s="84" t="n">
        <f aca="false">2_Projections!L68*(12/1)*1_Assumptions!$F$136/360</f>
        <v>134666.694424766</v>
      </c>
      <c r="M11" s="84" t="n">
        <f aca="false">2_Projections!M68*(12/1)*1_Assumptions!$F$136/360</f>
        <v>139029.359452338</v>
      </c>
      <c r="N11" s="84" t="n">
        <f aca="false">2_Projections!N68*(12/3)*1_Assumptions!$F$136/360</f>
        <v>252410.961677792</v>
      </c>
      <c r="O11" s="84" t="n">
        <f aca="false">2_Projections!O68*(12/3)*1_Assumptions!$F$136/360</f>
        <v>359131.991929689</v>
      </c>
      <c r="P11" s="84" t="n">
        <f aca="false">2_Projections!P68*(12/3)*1_Assumptions!$F$136/360</f>
        <v>496582.624211376</v>
      </c>
      <c r="Q11" s="84" t="n">
        <f aca="false">2_Projections!Q68*(12/3)*1_Assumptions!$F$136/360</f>
        <v>680388.483952948</v>
      </c>
      <c r="R11" s="84" t="n">
        <f aca="false">2_Projections!R68*(12/3)*1_Assumptions!$F$136/360</f>
        <v>841192.799698669</v>
      </c>
      <c r="S11" s="84" t="n">
        <f aca="false">2_Projections!S68*(12/3)*1_Assumptions!$F$136/360</f>
        <v>1045626.56596718</v>
      </c>
      <c r="T11" s="84" t="n">
        <f aca="false">2_Projections!T68*(12/3)*1_Assumptions!$F$136/360</f>
        <v>1278469.00043246</v>
      </c>
      <c r="U11" s="84" t="n">
        <f aca="false">2_Projections!U68*(12/3)*1_Assumptions!$F$136/360</f>
        <v>1571241.04340364</v>
      </c>
      <c r="V11" s="84" t="n">
        <f aca="false">2_Projections!V68*(12/3)*1_Assumptions!$F$136/360</f>
        <v>1816503.81571968</v>
      </c>
      <c r="W11" s="84" t="n">
        <f aca="false">2_Projections!W68*(12/3)*1_Assumptions!$F$136/360</f>
        <v>2066998.05066443</v>
      </c>
      <c r="X11" s="84" t="n">
        <f aca="false">2_Projections!X68*(12/3)*1_Assumptions!$F$136/360</f>
        <v>2271454.28313643</v>
      </c>
      <c r="Y11" s="84" t="n">
        <f aca="false">2_Projections!Y68*(12/3)*1_Assumptions!$F$136/360</f>
        <v>2515761.72477433</v>
      </c>
      <c r="Z11" s="84" t="n">
        <f aca="false">2_Projections!Z68*(12/3)*1_Assumptions!$F$136/360</f>
        <v>2754005.42657845</v>
      </c>
      <c r="AA11" s="84" t="n">
        <f aca="false">2_Projections!AA68*(12/3)*1_Assumptions!$F$136/360</f>
        <v>2958480.8998262</v>
      </c>
      <c r="AB11" s="84" t="n">
        <f aca="false">2_Projections!AB68*(12/3)*1_Assumptions!$F$136/360</f>
        <v>3163919.11004497</v>
      </c>
      <c r="AC11" s="84" t="n">
        <f aca="false">2_Projections!AC68*(12/3)*1_Assumptions!$F$136/360</f>
        <v>3375865.90133624</v>
      </c>
    </row>
    <row r="12" customFormat="false" ht="15" hidden="false" customHeight="true" outlineLevel="0" collapsed="false">
      <c r="A12" s="21"/>
      <c r="B12" s="22" t="s">
        <v>388</v>
      </c>
      <c r="C12" s="23" t="s">
        <v>311</v>
      </c>
      <c r="D12" s="21"/>
      <c r="E12" s="82" t="n">
        <f aca="false">2_Projections!E74*(12/1)*1_Assumptions!$F$137/360</f>
        <v>2186.84</v>
      </c>
      <c r="F12" s="82" t="n">
        <f aca="false">2_Projections!F74*(12/1)*1_Assumptions!$F$137/360</f>
        <v>2943.58</v>
      </c>
      <c r="G12" s="92" t="n">
        <f aca="false">2_Projections!G74*(12/1)*1_Assumptions!$F$137/360</f>
        <v>5432.486</v>
      </c>
      <c r="H12" s="82" t="n">
        <f aca="false">2_Projections!H74*(12/1)*1_Assumptions!$F$137/360</f>
        <v>7797.0576838875</v>
      </c>
      <c r="I12" s="82" t="n">
        <f aca="false">2_Projections!I74*(12/1)*1_Assumptions!$F$137/360</f>
        <v>15315.0880393113</v>
      </c>
      <c r="J12" s="82" t="n">
        <f aca="false">2_Projections!J74*(12/1)*1_Assumptions!$F$137/360</f>
        <v>15918.9881524994</v>
      </c>
      <c r="K12" s="82" t="n">
        <f aca="false">2_Projections!K74*(12/1)*1_Assumptions!$F$137/360</f>
        <v>15233.6408924071</v>
      </c>
      <c r="L12" s="82" t="n">
        <f aca="false">2_Projections!L74*(12/1)*1_Assumptions!$F$137/360</f>
        <v>24452.6074726477</v>
      </c>
      <c r="M12" s="82" t="n">
        <f aca="false">2_Projections!M74*(12/1)*1_Assumptions!$F$137/360</f>
        <v>25253.568167574</v>
      </c>
      <c r="N12" s="82" t="n">
        <f aca="false">2_Projections!N74*(12/3)*1_Assumptions!$F$137/360</f>
        <v>46270.896566323</v>
      </c>
      <c r="O12" s="82" t="n">
        <f aca="false">2_Projections!O74*(12/3)*1_Assumptions!$F$137/360</f>
        <v>65195.2551169626</v>
      </c>
      <c r="P12" s="82" t="n">
        <f aca="false">2_Projections!P74*(12/3)*1_Assumptions!$F$137/360</f>
        <v>89149.7229124363</v>
      </c>
      <c r="Q12" s="82" t="n">
        <f aca="false">2_Projections!Q74*(12/3)*1_Assumptions!$F$137/360</f>
        <v>121496.754726944</v>
      </c>
      <c r="R12" s="82" t="n">
        <f aca="false">2_Projections!R74*(12/3)*1_Assumptions!$F$137/360</f>
        <v>150687.244507048</v>
      </c>
      <c r="S12" s="82" t="n">
        <f aca="false">2_Projections!S74*(12/3)*1_Assumptions!$F$137/360</f>
        <v>186658.64910079</v>
      </c>
      <c r="T12" s="82" t="n">
        <f aca="false">2_Projections!T74*(12/3)*1_Assumptions!$F$137/360</f>
        <v>228196.526105041</v>
      </c>
      <c r="U12" s="82" t="n">
        <f aca="false">2_Projections!U74*(12/3)*1_Assumptions!$F$137/360</f>
        <v>280388.567986847</v>
      </c>
      <c r="V12" s="82" t="n">
        <f aca="false">2_Projections!V74*(12/3)*1_Assumptions!$F$137/360</f>
        <v>323802.426735653</v>
      </c>
      <c r="W12" s="82" t="n">
        <f aca="false">2_Projections!W74*(12/3)*1_Assumptions!$F$137/360</f>
        <v>367939.643955482</v>
      </c>
      <c r="X12" s="82" t="n">
        <f aca="false">2_Projections!X74*(12/3)*1_Assumptions!$F$137/360</f>
        <v>403582.546064459</v>
      </c>
      <c r="Y12" s="82" t="n">
        <f aca="false">2_Projections!Y74*(12/3)*1_Assumptions!$F$137/360</f>
        <v>446613.019800991</v>
      </c>
      <c r="Z12" s="82" t="n">
        <f aca="false">2_Projections!Z74*(12/3)*1_Assumptions!$F$137/360</f>
        <v>488728.906080585</v>
      </c>
      <c r="AA12" s="82" t="n">
        <f aca="false">2_Projections!AA74*(12/3)*1_Assumptions!$F$137/360</f>
        <v>524464.70650202</v>
      </c>
      <c r="AB12" s="82" t="n">
        <f aca="false">2_Projections!AB74*(12/3)*1_Assumptions!$F$137/360</f>
        <v>561402.478995049</v>
      </c>
      <c r="AC12" s="82" t="n">
        <f aca="false">2_Projections!AC74*(12/3)*1_Assumptions!$F$137/360</f>
        <v>599598.00682255</v>
      </c>
    </row>
    <row r="13" customFormat="false" ht="15" hidden="false" customHeight="true" outlineLevel="0" collapsed="false">
      <c r="A13" s="16"/>
      <c r="B13" s="17" t="s">
        <v>389</v>
      </c>
      <c r="C13" s="18" t="s">
        <v>311</v>
      </c>
      <c r="D13" s="16"/>
      <c r="E13" s="83" t="n">
        <v>0</v>
      </c>
      <c r="F13" s="83" t="n">
        <v>0</v>
      </c>
      <c r="G13" s="83" t="n">
        <v>0</v>
      </c>
      <c r="H13" s="83" t="n">
        <v>0</v>
      </c>
      <c r="I13" s="83" t="n">
        <v>0</v>
      </c>
      <c r="J13" s="83" t="n">
        <v>0</v>
      </c>
      <c r="K13" s="83" t="n">
        <v>0</v>
      </c>
      <c r="L13" s="83" t="n">
        <v>0</v>
      </c>
      <c r="M13" s="83" t="n">
        <v>0</v>
      </c>
      <c r="N13" s="83" t="n">
        <v>0</v>
      </c>
      <c r="O13" s="83" t="n">
        <v>0</v>
      </c>
      <c r="P13" s="83" t="n">
        <v>0</v>
      </c>
      <c r="Q13" s="83" t="n">
        <v>0</v>
      </c>
      <c r="R13" s="83" t="n">
        <v>0</v>
      </c>
      <c r="S13" s="83" t="n">
        <v>0</v>
      </c>
      <c r="T13" s="83" t="n">
        <v>0</v>
      </c>
      <c r="U13" s="83" t="n">
        <v>0</v>
      </c>
      <c r="V13" s="83" t="n">
        <v>0</v>
      </c>
      <c r="W13" s="83" t="n">
        <v>0</v>
      </c>
      <c r="X13" s="83" t="n">
        <v>0</v>
      </c>
      <c r="Y13" s="83" t="n">
        <v>0</v>
      </c>
      <c r="Z13" s="83" t="n">
        <v>0</v>
      </c>
      <c r="AA13" s="83" t="n">
        <v>0</v>
      </c>
      <c r="AB13" s="83" t="n">
        <v>0</v>
      </c>
      <c r="AC13" s="83" t="n">
        <v>0</v>
      </c>
    </row>
    <row r="14" customFormat="false" ht="15" hidden="false" customHeight="true" outlineLevel="0" collapsed="false">
      <c r="A14" s="21"/>
      <c r="B14" s="22" t="s">
        <v>390</v>
      </c>
      <c r="C14" s="23" t="s">
        <v>311</v>
      </c>
      <c r="D14" s="21"/>
      <c r="E14" s="82" t="n">
        <f aca="false">E11-E12</f>
        <v>11259.24</v>
      </c>
      <c r="F14" s="82" t="n">
        <f aca="false">(F11-E11)-(F12-E12)</f>
        <v>4490.84</v>
      </c>
      <c r="G14" s="82" t="n">
        <f aca="false">(G11-F11)-(G12-F12)</f>
        <v>12216.188</v>
      </c>
      <c r="H14" s="82" t="n">
        <f aca="false">(H11-G11)-(H12-G12)</f>
        <v>11760.3563566625</v>
      </c>
      <c r="I14" s="82" t="n">
        <f aca="false">(I11-H11)-(I12-H12)</f>
        <v>30668.10244619</v>
      </c>
      <c r="J14" s="82" t="n">
        <f aca="false">(J11-I11)-(J12-I12)</f>
        <v>2090.68050138267</v>
      </c>
      <c r="K14" s="82" t="n">
        <f aca="false">(K11-J11)-(K12-J12)</f>
        <v>-3215.70203435275</v>
      </c>
      <c r="L14" s="82" t="n">
        <f aca="false">(L11-K11)-(L12-K12)</f>
        <v>40944.3816822363</v>
      </c>
      <c r="M14" s="82" t="n">
        <f aca="false">(M11-L11)-(M12-L12)</f>
        <v>3561.70433264577</v>
      </c>
      <c r="N14" s="82" t="n">
        <f aca="false">(N11-M11)-(N12-M12)</f>
        <v>92364.2738267048</v>
      </c>
      <c r="O14" s="82" t="n">
        <f aca="false">(O11-N11)-(O12-N12)</f>
        <v>87796.6717012569</v>
      </c>
      <c r="P14" s="82" t="n">
        <f aca="false">(P11-O11)-(P12-O12)</f>
        <v>113496.164486213</v>
      </c>
      <c r="Q14" s="82" t="n">
        <f aca="false">(Q11-P11)-(Q12-P12)</f>
        <v>151458.827927065</v>
      </c>
      <c r="R14" s="82" t="n">
        <f aca="false">(R11-Q11)-(R12-Q12)</f>
        <v>131613.825965616</v>
      </c>
      <c r="S14" s="82" t="n">
        <f aca="false">(S11-R11)-(S12-R12)</f>
        <v>168462.361674767</v>
      </c>
      <c r="T14" s="82" t="n">
        <f aca="false">(T11-S11)-(T12-S12)</f>
        <v>191304.557461036</v>
      </c>
      <c r="U14" s="82" t="n">
        <f aca="false">(U11-T11)-(U12-T12)</f>
        <v>240580.001089367</v>
      </c>
      <c r="V14" s="82" t="n">
        <f aca="false">(V11-U11)-(V12-U12)</f>
        <v>201848.913567234</v>
      </c>
      <c r="W14" s="82" t="n">
        <f aca="false">(W11-V11)-(W12-V12)</f>
        <v>206357.01772492</v>
      </c>
      <c r="X14" s="82" t="n">
        <f aca="false">(X11-W11)-(X12-W12)</f>
        <v>168813.330363024</v>
      </c>
      <c r="Y14" s="82" t="n">
        <f aca="false">(Y11-X11)-(Y12-X12)</f>
        <v>201276.967901367</v>
      </c>
      <c r="Z14" s="82" t="n">
        <f aca="false">(Z11-Y11)-(Z12-Y12)</f>
        <v>196127.815524531</v>
      </c>
      <c r="AA14" s="82" t="n">
        <f aca="false">(AA11-Z11)-(AA12-Z12)</f>
        <v>168739.672826317</v>
      </c>
      <c r="AB14" s="82" t="n">
        <f aca="false">(AB11-AA11)-(AB12-AA12)</f>
        <v>168500.437725736</v>
      </c>
      <c r="AC14" s="82" t="n">
        <f aca="false">(AC11-AB11)-(AC12-AB12)</f>
        <v>173751.263463775</v>
      </c>
    </row>
    <row r="15" customFormat="false" ht="15" hidden="false" customHeight="true" outlineLevel="0" collapsed="false">
      <c r="A15" s="86"/>
      <c r="B15" s="87" t="s">
        <v>391</v>
      </c>
      <c r="C15" s="88" t="s">
        <v>311</v>
      </c>
      <c r="D15" s="89"/>
      <c r="E15" s="89" t="n">
        <f aca="false">E8-E9+E10-E14</f>
        <v>-68083.6666666667</v>
      </c>
      <c r="F15" s="89" t="n">
        <f aca="false">F8-F9+F10-F14</f>
        <v>-56824.4266666667</v>
      </c>
      <c r="G15" s="89" t="n">
        <f aca="false">G8-G9+G10-G14</f>
        <v>-52333.5866666667</v>
      </c>
      <c r="H15" s="89" t="n">
        <f aca="false">H8-H9+H10-H14</f>
        <v>-81868.6527147451</v>
      </c>
      <c r="I15" s="89" t="n">
        <f aca="false">I8-I9+I10-I14</f>
        <v>-101194.301111651</v>
      </c>
      <c r="J15" s="89" t="n">
        <f aca="false">J8-J9+J10-J14</f>
        <v>-72137.0068984282</v>
      </c>
      <c r="K15" s="89" t="n">
        <f aca="false">K8-K9+K10-K14</f>
        <v>-66285.0771470391</v>
      </c>
      <c r="L15" s="89" t="n">
        <f aca="false">L8-L9+L10-L14</f>
        <v>-109154.637980796</v>
      </c>
      <c r="M15" s="89" t="n">
        <f aca="false">M8-M9+M10-M14</f>
        <v>-70756.6666568334</v>
      </c>
      <c r="N15" s="89" t="n">
        <f aca="false">N8-N9+N10-N14</f>
        <v>-408896.002860276</v>
      </c>
      <c r="O15" s="89" t="n">
        <f aca="false">O8-O9+O10-O14</f>
        <v>-404987.149341128</v>
      </c>
      <c r="P15" s="89" t="n">
        <f aca="false">P8-P9+P10-P14</f>
        <v>-404770.176529896</v>
      </c>
      <c r="Q15" s="89" t="n">
        <f aca="false">Q8-Q9+Q10-Q14</f>
        <v>-496068.035266479</v>
      </c>
      <c r="R15" s="89" t="n">
        <f aca="false">R8-R9+R10-R14</f>
        <v>-380061.407752435</v>
      </c>
      <c r="S15" s="89" t="n">
        <f aca="false">S8-S9+S10-S14</f>
        <v>-365365.165081434</v>
      </c>
      <c r="T15" s="89" t="n">
        <f aca="false">T8-T9+T10-T14</f>
        <v>-245794.040341533</v>
      </c>
      <c r="U15" s="89" t="n">
        <f aca="false">U8-U9+U10-U14</f>
        <v>-129127.381836863</v>
      </c>
      <c r="V15" s="89" t="n">
        <f aca="false">V8-V9+V10-V14</f>
        <v>92146.0428303233</v>
      </c>
      <c r="W15" s="89" t="n">
        <f aca="false">W8-W9+W10-W14</f>
        <v>244442.012343245</v>
      </c>
      <c r="X15" s="89" t="n">
        <f aca="false">X8-X9+X10-X14</f>
        <v>489321.118036264</v>
      </c>
      <c r="Y15" s="89" t="n">
        <f aca="false">Y8-Y9+Y10-Y14</f>
        <v>705736.505199114</v>
      </c>
      <c r="Z15" s="89" t="n">
        <f aca="false">Z8-Z9+Z10-Z14</f>
        <v>978167.71070318</v>
      </c>
      <c r="AA15" s="89" t="n">
        <f aca="false">AA8-AA9+AA10-AA14</f>
        <v>1216232.12273187</v>
      </c>
      <c r="AB15" s="89" t="n">
        <f aca="false">AB8-AB9+AB10-AB14</f>
        <v>1501052.30007344</v>
      </c>
      <c r="AC15" s="89" t="n">
        <f aca="false">AC8-AC9+AC10-AC14</f>
        <v>1804170.54137389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27"/>
      <c r="B17" s="28" t="s">
        <v>392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customFormat="false" ht="15" hidden="false" customHeight="true" outlineLevel="0" collapsed="false">
      <c r="A18" s="21"/>
      <c r="B18" s="22" t="s">
        <v>393</v>
      </c>
      <c r="C18" s="23" t="s">
        <v>311</v>
      </c>
      <c r="D18" s="21"/>
      <c r="E18" s="82" t="n">
        <f aca="false">1_Assumptions!$F$142</f>
        <v>0</v>
      </c>
      <c r="F18" s="82" t="n">
        <f aca="false">1_Assumptions!$F$143*1/12</f>
        <v>0</v>
      </c>
      <c r="G18" s="92" t="n">
        <f aca="false">1_Assumptions!$F$143*1/12</f>
        <v>0</v>
      </c>
      <c r="H18" s="82" t="n">
        <f aca="false">1_Assumptions!$F$143*1/12</f>
        <v>0</v>
      </c>
      <c r="I18" s="82" t="n">
        <f aca="false">1_Assumptions!$F$143*1/12</f>
        <v>0</v>
      </c>
      <c r="J18" s="82" t="n">
        <f aca="false">1_Assumptions!$F$143*1/12</f>
        <v>0</v>
      </c>
      <c r="K18" s="82" t="n">
        <f aca="false">1_Assumptions!$F$143*1/12</f>
        <v>0</v>
      </c>
      <c r="L18" s="82" t="n">
        <f aca="false">1_Assumptions!$F$143*1/12</f>
        <v>0</v>
      </c>
      <c r="M18" s="82" t="n">
        <f aca="false">1_Assumptions!$F$143*1/12</f>
        <v>0</v>
      </c>
      <c r="N18" s="82" t="n">
        <f aca="false">1_Assumptions!$F$143*3/12</f>
        <v>0</v>
      </c>
      <c r="O18" s="82" t="n">
        <f aca="false">1_Assumptions!$F$143*3/12</f>
        <v>0</v>
      </c>
      <c r="P18" s="82" t="n">
        <f aca="false">1_Assumptions!$F$143*3/12</f>
        <v>0</v>
      </c>
      <c r="Q18" s="82" t="n">
        <f aca="false">1_Assumptions!$F$143*3/12</f>
        <v>0</v>
      </c>
      <c r="R18" s="82" t="n">
        <f aca="false">1_Assumptions!$F$143*3/12</f>
        <v>0</v>
      </c>
      <c r="S18" s="82" t="n">
        <f aca="false">1_Assumptions!$F$143*3/12</f>
        <v>0</v>
      </c>
      <c r="T18" s="82" t="n">
        <f aca="false">1_Assumptions!$F$143*3/12</f>
        <v>0</v>
      </c>
      <c r="U18" s="82" t="n">
        <f aca="false">1_Assumptions!$F$143*3/12</f>
        <v>0</v>
      </c>
      <c r="V18" s="82" t="n">
        <f aca="false">1_Assumptions!$F$143*3/12</f>
        <v>0</v>
      </c>
      <c r="W18" s="82" t="n">
        <f aca="false">1_Assumptions!$F$143*3/12</f>
        <v>0</v>
      </c>
      <c r="X18" s="82" t="n">
        <f aca="false">1_Assumptions!$F$143*3/12</f>
        <v>0</v>
      </c>
      <c r="Y18" s="82" t="n">
        <f aca="false">1_Assumptions!$F$143*3/12</f>
        <v>0</v>
      </c>
      <c r="Z18" s="82" t="n">
        <f aca="false">1_Assumptions!$F$143*3/12</f>
        <v>0</v>
      </c>
      <c r="AA18" s="82" t="n">
        <f aca="false">1_Assumptions!$F$143*3/12</f>
        <v>0</v>
      </c>
      <c r="AB18" s="82" t="n">
        <f aca="false">1_Assumptions!$F$143*3/12</f>
        <v>0</v>
      </c>
      <c r="AC18" s="82" t="n">
        <f aca="false">1_Assumptions!$F$143*3/12</f>
        <v>0</v>
      </c>
    </row>
    <row r="19" customFormat="false" ht="15" hidden="false" customHeight="true" outlineLevel="0" collapsed="false">
      <c r="A19" s="86"/>
      <c r="B19" s="87" t="s">
        <v>394</v>
      </c>
      <c r="C19" s="88" t="s">
        <v>311</v>
      </c>
      <c r="D19" s="89"/>
      <c r="E19" s="89" t="n">
        <f aca="false">E15-E18</f>
        <v>-68083.6666666667</v>
      </c>
      <c r="F19" s="89" t="n">
        <f aca="false">F15-F18</f>
        <v>-56824.4266666667</v>
      </c>
      <c r="G19" s="89" t="n">
        <f aca="false">G15-G18</f>
        <v>-52333.5866666667</v>
      </c>
      <c r="H19" s="89" t="n">
        <f aca="false">H15-H18</f>
        <v>-81868.6527147451</v>
      </c>
      <c r="I19" s="89" t="n">
        <f aca="false">I15-I18</f>
        <v>-101194.301111651</v>
      </c>
      <c r="J19" s="89" t="n">
        <f aca="false">J15-J18</f>
        <v>-72137.0068984282</v>
      </c>
      <c r="K19" s="89" t="n">
        <f aca="false">K15-K18</f>
        <v>-66285.0771470391</v>
      </c>
      <c r="L19" s="89" t="n">
        <f aca="false">L15-L18</f>
        <v>-109154.637980796</v>
      </c>
      <c r="M19" s="89" t="n">
        <f aca="false">M15-M18</f>
        <v>-70756.6666568334</v>
      </c>
      <c r="N19" s="89" t="n">
        <f aca="false">N15-N18</f>
        <v>-408896.002860276</v>
      </c>
      <c r="O19" s="89" t="n">
        <f aca="false">O15-O18</f>
        <v>-404987.149341128</v>
      </c>
      <c r="P19" s="89" t="n">
        <f aca="false">P15-P18</f>
        <v>-404770.176529896</v>
      </c>
      <c r="Q19" s="89" t="n">
        <f aca="false">Q15-Q18</f>
        <v>-496068.035266479</v>
      </c>
      <c r="R19" s="89" t="n">
        <f aca="false">R15-R18</f>
        <v>-380061.407752435</v>
      </c>
      <c r="S19" s="89" t="n">
        <f aca="false">S15-S18</f>
        <v>-365365.165081434</v>
      </c>
      <c r="T19" s="89" t="n">
        <f aca="false">T15-T18</f>
        <v>-245794.040341533</v>
      </c>
      <c r="U19" s="89" t="n">
        <f aca="false">U15-U18</f>
        <v>-129127.381836863</v>
      </c>
      <c r="V19" s="89" t="n">
        <f aca="false">V15-V18</f>
        <v>92146.0428303233</v>
      </c>
      <c r="W19" s="89" t="n">
        <f aca="false">W15-W18</f>
        <v>244442.012343245</v>
      </c>
      <c r="X19" s="89" t="n">
        <f aca="false">X15-X18</f>
        <v>489321.118036264</v>
      </c>
      <c r="Y19" s="89" t="n">
        <f aca="false">Y15-Y18</f>
        <v>705736.505199114</v>
      </c>
      <c r="Z19" s="89" t="n">
        <f aca="false">Z15-Z18</f>
        <v>978167.71070318</v>
      </c>
      <c r="AA19" s="89" t="n">
        <f aca="false">AA15-AA18</f>
        <v>1216232.12273187</v>
      </c>
      <c r="AB19" s="89" t="n">
        <f aca="false">AB15-AB18</f>
        <v>1501052.30007344</v>
      </c>
      <c r="AC19" s="89" t="n">
        <f aca="false">AC15-AC18</f>
        <v>1804170.54137389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27"/>
      <c r="B21" s="28" t="s">
        <v>395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customFormat="false" ht="15" hidden="false" customHeight="true" outlineLevel="0" collapsed="false">
      <c r="A22" s="21"/>
      <c r="B22" s="22" t="s">
        <v>396</v>
      </c>
      <c r="C22" s="23" t="s">
        <v>311</v>
      </c>
      <c r="D22" s="21"/>
      <c r="E22" s="82" t="n">
        <f aca="false">D5</f>
        <v>3000000</v>
      </c>
      <c r="F22" s="85" t="n">
        <v>0</v>
      </c>
      <c r="G22" s="85" t="n">
        <v>0</v>
      </c>
      <c r="H22" s="85" t="n">
        <v>0</v>
      </c>
      <c r="I22" s="85" t="n">
        <v>0</v>
      </c>
      <c r="J22" s="85" t="n">
        <v>0</v>
      </c>
      <c r="K22" s="85" t="n">
        <v>0</v>
      </c>
      <c r="L22" s="85" t="n">
        <v>0</v>
      </c>
      <c r="M22" s="85" t="n">
        <v>0</v>
      </c>
      <c r="N22" s="85" t="n">
        <v>0</v>
      </c>
      <c r="O22" s="85" t="n">
        <v>0</v>
      </c>
      <c r="P22" s="85" t="n">
        <v>0</v>
      </c>
      <c r="Q22" s="85" t="n">
        <v>0</v>
      </c>
      <c r="R22" s="85" t="n">
        <v>0</v>
      </c>
      <c r="S22" s="85" t="n">
        <v>0</v>
      </c>
      <c r="T22" s="85" t="n">
        <v>0</v>
      </c>
      <c r="U22" s="85" t="n">
        <v>0</v>
      </c>
      <c r="V22" s="85" t="n">
        <v>0</v>
      </c>
      <c r="W22" s="85" t="n">
        <v>0</v>
      </c>
      <c r="X22" s="85" t="n">
        <v>0</v>
      </c>
      <c r="Y22" s="85" t="n">
        <v>0</v>
      </c>
      <c r="Z22" s="85" t="n">
        <v>0</v>
      </c>
      <c r="AA22" s="85" t="n">
        <v>0</v>
      </c>
      <c r="AB22" s="85" t="n">
        <v>0</v>
      </c>
      <c r="AC22" s="85" t="n">
        <v>0</v>
      </c>
    </row>
    <row r="23" customFormat="false" ht="15" hidden="false" customHeight="true" outlineLevel="0" collapsed="false">
      <c r="A23" s="16"/>
      <c r="B23" s="17" t="s">
        <v>397</v>
      </c>
      <c r="C23" s="18" t="s">
        <v>311</v>
      </c>
      <c r="D23" s="16"/>
      <c r="E23" s="84" t="n">
        <f aca="false">E22</f>
        <v>3000000</v>
      </c>
      <c r="F23" s="84" t="n">
        <f aca="false">F22</f>
        <v>0</v>
      </c>
      <c r="G23" s="84" t="n">
        <f aca="false">G22</f>
        <v>0</v>
      </c>
      <c r="H23" s="84" t="n">
        <f aca="false">H22</f>
        <v>0</v>
      </c>
      <c r="I23" s="84" t="n">
        <f aca="false">I22</f>
        <v>0</v>
      </c>
      <c r="J23" s="84" t="n">
        <f aca="false">J22</f>
        <v>0</v>
      </c>
      <c r="K23" s="84" t="n">
        <f aca="false">K22</f>
        <v>0</v>
      </c>
      <c r="L23" s="84" t="n">
        <f aca="false">L22</f>
        <v>0</v>
      </c>
      <c r="M23" s="84" t="n">
        <f aca="false">M22</f>
        <v>0</v>
      </c>
      <c r="N23" s="84" t="n">
        <f aca="false">N22</f>
        <v>0</v>
      </c>
      <c r="O23" s="84" t="n">
        <f aca="false">O22</f>
        <v>0</v>
      </c>
      <c r="P23" s="84" t="n">
        <f aca="false">P22</f>
        <v>0</v>
      </c>
      <c r="Q23" s="84" t="n">
        <f aca="false">Q22</f>
        <v>0</v>
      </c>
      <c r="R23" s="84" t="n">
        <f aca="false">R22</f>
        <v>0</v>
      </c>
      <c r="S23" s="84" t="n">
        <f aca="false">S22</f>
        <v>0</v>
      </c>
      <c r="T23" s="84" t="n">
        <f aca="false">T22</f>
        <v>0</v>
      </c>
      <c r="U23" s="84" t="n">
        <f aca="false">U22</f>
        <v>0</v>
      </c>
      <c r="V23" s="84" t="n">
        <f aca="false">V22</f>
        <v>0</v>
      </c>
      <c r="W23" s="84" t="n">
        <f aca="false">W22</f>
        <v>0</v>
      </c>
      <c r="X23" s="84" t="n">
        <f aca="false">X22</f>
        <v>0</v>
      </c>
      <c r="Y23" s="84" t="n">
        <f aca="false">Y22</f>
        <v>0</v>
      </c>
      <c r="Z23" s="84" t="n">
        <f aca="false">Z22</f>
        <v>0</v>
      </c>
      <c r="AA23" s="84" t="n">
        <f aca="false">AA22</f>
        <v>0</v>
      </c>
      <c r="AB23" s="84" t="n">
        <f aca="false">AB22</f>
        <v>0</v>
      </c>
      <c r="AC23" s="84" t="n">
        <f aca="false">AC22</f>
        <v>0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27"/>
      <c r="B25" s="28" t="s">
        <v>398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customFormat="false" ht="15" hidden="false" customHeight="true" outlineLevel="0" collapsed="false">
      <c r="A26" s="21"/>
      <c r="B26" s="22" t="s">
        <v>399</v>
      </c>
      <c r="C26" s="23" t="s">
        <v>311</v>
      </c>
      <c r="D26" s="21"/>
      <c r="E26" s="82" t="n">
        <f aca="false">E19+E23</f>
        <v>2931916.33333333</v>
      </c>
      <c r="F26" s="82" t="n">
        <f aca="false">F19+F23</f>
        <v>-56824.4266666667</v>
      </c>
      <c r="G26" s="82" t="n">
        <f aca="false">G19+G23</f>
        <v>-52333.5866666667</v>
      </c>
      <c r="H26" s="82" t="n">
        <f aca="false">H19+H23</f>
        <v>-81868.6527147451</v>
      </c>
      <c r="I26" s="82" t="n">
        <f aca="false">I19+I23</f>
        <v>-101194.301111651</v>
      </c>
      <c r="J26" s="82" t="n">
        <f aca="false">J19+J23</f>
        <v>-72137.0068984282</v>
      </c>
      <c r="K26" s="82" t="n">
        <f aca="false">K19+K23</f>
        <v>-66285.0771470391</v>
      </c>
      <c r="L26" s="82" t="n">
        <f aca="false">L19+L23</f>
        <v>-109154.637980796</v>
      </c>
      <c r="M26" s="82" t="n">
        <f aca="false">M19+M23</f>
        <v>-70756.6666568334</v>
      </c>
      <c r="N26" s="82" t="n">
        <f aca="false">N19+N23</f>
        <v>-408896.002860276</v>
      </c>
      <c r="O26" s="82" t="n">
        <f aca="false">O19+O23</f>
        <v>-404987.149341128</v>
      </c>
      <c r="P26" s="82" t="n">
        <f aca="false">P19+P23</f>
        <v>-404770.176529896</v>
      </c>
      <c r="Q26" s="82" t="n">
        <f aca="false">Q19+Q23</f>
        <v>-496068.035266479</v>
      </c>
      <c r="R26" s="82" t="n">
        <f aca="false">R19+R23</f>
        <v>-380061.407752435</v>
      </c>
      <c r="S26" s="82" t="n">
        <f aca="false">S19+S23</f>
        <v>-365365.165081434</v>
      </c>
      <c r="T26" s="82" t="n">
        <f aca="false">T19+T23</f>
        <v>-245794.040341533</v>
      </c>
      <c r="U26" s="82" t="n">
        <f aca="false">U19+U23</f>
        <v>-129127.381836863</v>
      </c>
      <c r="V26" s="82" t="n">
        <f aca="false">V19+V23</f>
        <v>92146.0428303233</v>
      </c>
      <c r="W26" s="82" t="n">
        <f aca="false">W19+W23</f>
        <v>244442.012343245</v>
      </c>
      <c r="X26" s="82" t="n">
        <f aca="false">X19+X23</f>
        <v>489321.118036264</v>
      </c>
      <c r="Y26" s="82" t="n">
        <f aca="false">Y19+Y23</f>
        <v>705736.505199114</v>
      </c>
      <c r="Z26" s="82" t="n">
        <f aca="false">Z19+Z23</f>
        <v>978167.71070318</v>
      </c>
      <c r="AA26" s="82" t="n">
        <f aca="false">AA19+AA23</f>
        <v>1216232.12273187</v>
      </c>
      <c r="AB26" s="82" t="n">
        <f aca="false">AB19+AB23</f>
        <v>1501052.30007344</v>
      </c>
      <c r="AC26" s="82" t="n">
        <f aca="false">AC19+AC23</f>
        <v>1804170.54137389</v>
      </c>
    </row>
    <row r="27" customFormat="false" ht="15" hidden="false" customHeight="true" outlineLevel="0" collapsed="false">
      <c r="A27" s="86"/>
      <c r="B27" s="87" t="s">
        <v>400</v>
      </c>
      <c r="C27" s="88" t="s">
        <v>311</v>
      </c>
      <c r="D27" s="89"/>
      <c r="E27" s="89" t="n">
        <f aca="false">E26</f>
        <v>2931916.33333333</v>
      </c>
      <c r="F27" s="89" t="n">
        <f aca="false">E27+F26</f>
        <v>2875091.90666667</v>
      </c>
      <c r="G27" s="89" t="n">
        <f aca="false">F27+G26</f>
        <v>2822758.32</v>
      </c>
      <c r="H27" s="89" t="n">
        <f aca="false">G27+H26</f>
        <v>2740889.66728526</v>
      </c>
      <c r="I27" s="89" t="n">
        <f aca="false">H27+I26</f>
        <v>2639695.3661736</v>
      </c>
      <c r="J27" s="89" t="n">
        <f aca="false">I27+J26</f>
        <v>2567558.35927518</v>
      </c>
      <c r="K27" s="89" t="n">
        <f aca="false">J27+K26</f>
        <v>2501273.28212814</v>
      </c>
      <c r="L27" s="89" t="n">
        <f aca="false">K27+L26</f>
        <v>2392118.64414734</v>
      </c>
      <c r="M27" s="89" t="n">
        <f aca="false">L27+M26</f>
        <v>2321361.97749051</v>
      </c>
      <c r="N27" s="89" t="n">
        <f aca="false">M27+N26</f>
        <v>1912465.97463023</v>
      </c>
      <c r="O27" s="89" t="n">
        <f aca="false">N27+O26</f>
        <v>1507478.8252891</v>
      </c>
      <c r="P27" s="89" t="n">
        <f aca="false">O27+P26</f>
        <v>1102708.64875921</v>
      </c>
      <c r="Q27" s="89" t="n">
        <f aca="false">P27+Q26</f>
        <v>606640.61349273</v>
      </c>
      <c r="R27" s="89" t="n">
        <f aca="false">Q27+R26</f>
        <v>226579.205740295</v>
      </c>
      <c r="S27" s="89" t="n">
        <f aca="false">R27+S26</f>
        <v>-138785.959341139</v>
      </c>
      <c r="T27" s="89" t="n">
        <f aca="false">S27+T26</f>
        <v>-384579.999682672</v>
      </c>
      <c r="U27" s="89" t="n">
        <f aca="false">T27+U26</f>
        <v>-513707.381519535</v>
      </c>
      <c r="V27" s="89" t="n">
        <f aca="false">U27+V26</f>
        <v>-421561.338689212</v>
      </c>
      <c r="W27" s="89" t="n">
        <f aca="false">V27+W26</f>
        <v>-177119.326345967</v>
      </c>
      <c r="X27" s="89" t="n">
        <f aca="false">W27+X26</f>
        <v>312201.791690297</v>
      </c>
      <c r="Y27" s="89" t="n">
        <f aca="false">X27+Y26</f>
        <v>1017938.29688941</v>
      </c>
      <c r="Z27" s="89" t="n">
        <f aca="false">Y27+Z26</f>
        <v>1996106.00759259</v>
      </c>
      <c r="AA27" s="89" t="n">
        <f aca="false">Z27+AA26</f>
        <v>3212338.13032446</v>
      </c>
      <c r="AB27" s="89" t="n">
        <f aca="false">AA27+AB26</f>
        <v>4713390.4303979</v>
      </c>
      <c r="AC27" s="89" t="n">
        <f aca="false">AB27+AC26</f>
        <v>6517560.97177179</v>
      </c>
    </row>
    <row r="28" customFormat="false" ht="15" hidden="false" customHeight="true" outlineLevel="0" collapsed="false">
      <c r="A28" s="21"/>
      <c r="B28" s="22" t="s">
        <v>401</v>
      </c>
      <c r="C28" s="23" t="s">
        <v>311</v>
      </c>
      <c r="D28" s="21"/>
      <c r="E28" s="82" t="n">
        <f aca="false">IFERROR(MAX(-E26/1,0),0)</f>
        <v>0</v>
      </c>
      <c r="F28" s="82" t="n">
        <f aca="false">IFERROR(MAX(-F26/1,0),0)</f>
        <v>56824.4266666667</v>
      </c>
      <c r="G28" s="92" t="n">
        <f aca="false">IFERROR(MAX(-G26/1,0),0)</f>
        <v>52333.5866666667</v>
      </c>
      <c r="H28" s="82" t="n">
        <f aca="false">IFERROR(MAX(-H26/1,0),0)</f>
        <v>81868.6527147451</v>
      </c>
      <c r="I28" s="82" t="n">
        <f aca="false">IFERROR(MAX(-I26/1,0),0)</f>
        <v>101194.301111651</v>
      </c>
      <c r="J28" s="82" t="n">
        <f aca="false">IFERROR(MAX(-J26/1,0),0)</f>
        <v>72137.0068984282</v>
      </c>
      <c r="K28" s="82" t="n">
        <f aca="false">IFERROR(MAX(-K26/1,0),0)</f>
        <v>66285.0771470391</v>
      </c>
      <c r="L28" s="82" t="n">
        <f aca="false">IFERROR(MAX(-L26/1,0),0)</f>
        <v>109154.637980796</v>
      </c>
      <c r="M28" s="82" t="n">
        <f aca="false">IFERROR(MAX(-M26/1,0),0)</f>
        <v>70756.6666568334</v>
      </c>
      <c r="N28" s="82" t="n">
        <f aca="false">IFERROR(MAX(-N26/3,0),0)</f>
        <v>136298.667620092</v>
      </c>
      <c r="O28" s="82" t="n">
        <f aca="false">IFERROR(MAX(-O26/3,0),0)</f>
        <v>134995.716447043</v>
      </c>
      <c r="P28" s="82" t="n">
        <f aca="false">IFERROR(MAX(-P26/3,0),0)</f>
        <v>134923.392176632</v>
      </c>
      <c r="Q28" s="82" t="n">
        <f aca="false">IFERROR(MAX(-Q26/3,0),0)</f>
        <v>165356.011755493</v>
      </c>
      <c r="R28" s="82" t="n">
        <f aca="false">IFERROR(MAX(-R26/3,0),0)</f>
        <v>126687.135917478</v>
      </c>
      <c r="S28" s="82" t="n">
        <f aca="false">IFERROR(MAX(-S26/3,0),0)</f>
        <v>121788.388360478</v>
      </c>
      <c r="T28" s="82" t="n">
        <f aca="false">IFERROR(MAX(-T26/3,0),0)</f>
        <v>81931.3467805111</v>
      </c>
      <c r="U28" s="82" t="n">
        <f aca="false">IFERROR(MAX(-U26/3,0),0)</f>
        <v>43042.4606122876</v>
      </c>
      <c r="V28" s="82" t="n">
        <f aca="false">IFERROR(MAX(-V26/3,0),0)</f>
        <v>0</v>
      </c>
      <c r="W28" s="82" t="n">
        <f aca="false">IFERROR(MAX(-W26/3,0),0)</f>
        <v>0</v>
      </c>
      <c r="X28" s="82" t="n">
        <f aca="false">IFERROR(MAX(-X26/3,0),0)</f>
        <v>0</v>
      </c>
      <c r="Y28" s="82" t="n">
        <f aca="false">IFERROR(MAX(-Y26/3,0),0)</f>
        <v>0</v>
      </c>
      <c r="Z28" s="82" t="n">
        <f aca="false">IFERROR(MAX(-Z26/3,0),0)</f>
        <v>0</v>
      </c>
      <c r="AA28" s="82" t="n">
        <f aca="false">IFERROR(MAX(-AA26/3,0),0)</f>
        <v>0</v>
      </c>
      <c r="AB28" s="82" t="n">
        <f aca="false">IFERROR(MAX(-AB26/3,0),0)</f>
        <v>0</v>
      </c>
      <c r="AC28" s="82" t="n">
        <f aca="false">IFERROR(MAX(-AC26/3,0),0)</f>
        <v>0</v>
      </c>
    </row>
    <row r="29" customFormat="false" ht="15" hidden="false" customHeight="true" outlineLevel="0" collapsed="false">
      <c r="A29" s="16"/>
      <c r="B29" s="17" t="s">
        <v>402</v>
      </c>
      <c r="C29" s="18" t="s">
        <v>403</v>
      </c>
      <c r="D29" s="16"/>
      <c r="E29" s="98" t="n">
        <f aca="false">IFERROR(IF(E28&gt;0,E27/E28,99),99)</f>
        <v>99</v>
      </c>
      <c r="F29" s="98" t="n">
        <f aca="false">IFERROR(IF(F28&gt;0,F27/F28,99),99)</f>
        <v>50.5960565784855</v>
      </c>
      <c r="G29" s="99" t="n">
        <f aca="false">IFERROR(IF(G28&gt;0,G27/G28,99),99)</f>
        <v>53.9377959699049</v>
      </c>
      <c r="H29" s="98" t="n">
        <f aca="false">IFERROR(IF(H28&gt;0,H27/H28,99),99)</f>
        <v>33.4791104580081</v>
      </c>
      <c r="I29" s="98" t="n">
        <f aca="false">IFERROR(IF(I28&gt;0,I27/I28,99),99)</f>
        <v>26.0854152573389</v>
      </c>
      <c r="J29" s="98" t="n">
        <f aca="false">IFERROR(IF(J28&gt;0,J27/J28,99),99)</f>
        <v>35.5928041607049</v>
      </c>
      <c r="K29" s="98" t="n">
        <f aca="false">IFERROR(IF(K28&gt;0,K27/K28,99),99)</f>
        <v>37.7350889488988</v>
      </c>
      <c r="L29" s="98" t="n">
        <f aca="false">IFERROR(IF(L28&gt;0,L27/L28,99),99)</f>
        <v>21.9149519287325</v>
      </c>
      <c r="M29" s="98" t="n">
        <f aca="false">IFERROR(IF(M28&gt;0,M27/M28,99),99)</f>
        <v>32.8076785859488</v>
      </c>
      <c r="N29" s="98" t="n">
        <f aca="false">IFERROR(IF(N28&gt;0,N27/N28,99),99)</f>
        <v>14.0314355820476</v>
      </c>
      <c r="O29" s="98" t="n">
        <f aca="false">IFERROR(IF(O28&gt;0,O27/O28,99),99)</f>
        <v>11.1668641418002</v>
      </c>
      <c r="P29" s="98" t="n">
        <f aca="false">IFERROR(IF(P28&gt;0,P27/P28,99),99)</f>
        <v>8.17285002229727</v>
      </c>
      <c r="Q29" s="98" t="n">
        <f aca="false">IFERROR(IF(Q28&gt;0,Q27/Q28,99),99)</f>
        <v>3.66869403206066</v>
      </c>
      <c r="R29" s="98" t="n">
        <f aca="false">IFERROR(IF(R28&gt;0,R27/R28,99),99)</f>
        <v>1.78849418371795</v>
      </c>
      <c r="S29" s="98" t="n">
        <f aca="false">IFERROR(IF(S28&gt;0,S27/S28,99),99)</f>
        <v>-1.13956643329864</v>
      </c>
      <c r="T29" s="98" t="n">
        <f aca="false">IFERROR(IF(T28&gt;0,T27/T28,99),99)</f>
        <v>-4.69392991565167</v>
      </c>
      <c r="U29" s="98" t="n">
        <f aca="false">IFERROR(IF(U28&gt;0,U27/U28,99),99)</f>
        <v>-11.9348981032205</v>
      </c>
      <c r="V29" s="98" t="n">
        <f aca="false">IFERROR(IF(V28&gt;0,V27/V28,99),99)</f>
        <v>99</v>
      </c>
      <c r="W29" s="98" t="n">
        <f aca="false">IFERROR(IF(W28&gt;0,W27/W28,99),99)</f>
        <v>99</v>
      </c>
      <c r="X29" s="98" t="n">
        <f aca="false">IFERROR(IF(X28&gt;0,X27/X28,99),99)</f>
        <v>99</v>
      </c>
      <c r="Y29" s="98" t="n">
        <f aca="false">IFERROR(IF(Y28&gt;0,Y27/Y28,99),99)</f>
        <v>99</v>
      </c>
      <c r="Z29" s="98" t="n">
        <f aca="false">IFERROR(IF(Z28&gt;0,Z27/Z28,99),99)</f>
        <v>99</v>
      </c>
      <c r="AA29" s="98" t="n">
        <f aca="false">IFERROR(IF(AA28&gt;0,AA27/AA28,99),99)</f>
        <v>99</v>
      </c>
      <c r="AB29" s="98" t="n">
        <f aca="false">IFERROR(IF(AB28&gt;0,AB27/AB28,99),99)</f>
        <v>99</v>
      </c>
      <c r="AC29" s="98" t="n">
        <f aca="false">IFERROR(IF(AC28&gt;0,AC27/AC28,99),99)</f>
        <v>99</v>
      </c>
    </row>
    <row r="30" customFormat="false" ht="15" hidden="false" customHeight="true" outlineLevel="0" collapsed="false">
      <c r="A30" s="21"/>
      <c r="B30" s="22" t="s">
        <v>404</v>
      </c>
      <c r="C30" s="23"/>
      <c r="D30" s="100"/>
      <c r="E30" s="100" t="str">
        <f aca="false">IF(E29&lt;6,"⚠ RAISE NOW",IF(E29&lt;9,"▲ Start fundraising",""))</f>
        <v/>
      </c>
      <c r="F30" s="100" t="str">
        <f aca="false">IF(F29&lt;6,"⚠ RAISE NOW",IF(F29&lt;9,"▲ Start fundraising",""))</f>
        <v/>
      </c>
      <c r="G30" s="100" t="str">
        <f aca="false">IF(G29&lt;6,"⚠ RAISE NOW",IF(G29&lt;9,"▲ Start fundraising",""))</f>
        <v/>
      </c>
      <c r="H30" s="100" t="str">
        <f aca="false">IF(H29&lt;6,"⚠ RAISE NOW",IF(H29&lt;9,"▲ Start fundraising",""))</f>
        <v/>
      </c>
      <c r="I30" s="100" t="str">
        <f aca="false">IF(I29&lt;6,"⚠ RAISE NOW",IF(I29&lt;9,"▲ Start fundraising",""))</f>
        <v/>
      </c>
      <c r="J30" s="100" t="str">
        <f aca="false">IF(J29&lt;6,"⚠ RAISE NOW",IF(J29&lt;9,"▲ Start fundraising",""))</f>
        <v/>
      </c>
      <c r="K30" s="100" t="str">
        <f aca="false">IF(K29&lt;6,"⚠ RAISE NOW",IF(K29&lt;9,"▲ Start fundraising",""))</f>
        <v/>
      </c>
      <c r="L30" s="100" t="str">
        <f aca="false">IF(L29&lt;6,"⚠ RAISE NOW",IF(L29&lt;9,"▲ Start fundraising",""))</f>
        <v/>
      </c>
      <c r="M30" s="100" t="str">
        <f aca="false">IF(M29&lt;6,"⚠ RAISE NOW",IF(M29&lt;9,"▲ Start fundraising",""))</f>
        <v/>
      </c>
      <c r="N30" s="100" t="str">
        <f aca="false">IF(N29&lt;6,"⚠ RAISE NOW",IF(N29&lt;9,"▲ Start fundraising",""))</f>
        <v/>
      </c>
      <c r="O30" s="100" t="str">
        <f aca="false">IF(O29&lt;6,"⚠ RAISE NOW",IF(O29&lt;9,"▲ Start fundraising",""))</f>
        <v/>
      </c>
      <c r="P30" s="100" t="str">
        <f aca="false">IF(P29&lt;6,"⚠ RAISE NOW",IF(P29&lt;9,"▲ Start fundraising",""))</f>
        <v>▲ Start fundraising</v>
      </c>
      <c r="Q30" s="100" t="str">
        <f aca="false">IF(Q29&lt;6,"⚠ RAISE NOW",IF(Q29&lt;9,"▲ Start fundraising",""))</f>
        <v>⚠ RAISE NOW</v>
      </c>
      <c r="R30" s="100" t="str">
        <f aca="false">IF(R29&lt;6,"⚠ RAISE NOW",IF(R29&lt;9,"▲ Start fundraising",""))</f>
        <v>⚠ RAISE NOW</v>
      </c>
      <c r="S30" s="100" t="str">
        <f aca="false">IF(S29&lt;6,"⚠ RAISE NOW",IF(S29&lt;9,"▲ Start fundraising",""))</f>
        <v>⚠ RAISE NOW</v>
      </c>
      <c r="T30" s="100" t="str">
        <f aca="false">IF(T29&lt;6,"⚠ RAISE NOW",IF(T29&lt;9,"▲ Start fundraising",""))</f>
        <v>⚠ RAISE NOW</v>
      </c>
      <c r="U30" s="100" t="str">
        <f aca="false">IF(U29&lt;6,"⚠ RAISE NOW",IF(U29&lt;9,"▲ Start fundraising",""))</f>
        <v>⚠ RAISE NOW</v>
      </c>
      <c r="V30" s="100" t="str">
        <f aca="false">IF(V29&lt;6,"⚠ RAISE NOW",IF(V29&lt;9,"▲ Start fundraising",""))</f>
        <v/>
      </c>
      <c r="W30" s="100" t="str">
        <f aca="false">IF(W29&lt;6,"⚠ RAISE NOW",IF(W29&lt;9,"▲ Start fundraising",""))</f>
        <v/>
      </c>
      <c r="X30" s="100" t="str">
        <f aca="false">IF(X29&lt;6,"⚠ RAISE NOW",IF(X29&lt;9,"▲ Start fundraising",""))</f>
        <v/>
      </c>
      <c r="Y30" s="100" t="str">
        <f aca="false">IF(Y29&lt;6,"⚠ RAISE NOW",IF(Y29&lt;9,"▲ Start fundraising",""))</f>
        <v/>
      </c>
      <c r="Z30" s="100" t="str">
        <f aca="false">IF(Z29&lt;6,"⚠ RAISE NOW",IF(Z29&lt;9,"▲ Start fundraising",""))</f>
        <v/>
      </c>
      <c r="AA30" s="100" t="str">
        <f aca="false">IF(AA29&lt;6,"⚠ RAISE NOW",IF(AA29&lt;9,"▲ Start fundraising",""))</f>
        <v/>
      </c>
      <c r="AB30" s="100" t="str">
        <f aca="false">IF(AB29&lt;6,"⚠ RAISE NOW",IF(AB29&lt;9,"▲ Start fundraising",""))</f>
        <v/>
      </c>
      <c r="AC30" s="100" t="str">
        <f aca="false">IF(AC29&lt;6,"⚠ RAISE NOW",IF(AC29&lt;9,"▲ Start fundraising",""))</f>
        <v/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29" min="5" style="1" width="13"/>
  </cols>
  <sheetData>
    <row r="1" customFormat="false" ht="15" hidden="false" customHeight="true" outlineLevel="0" collapsed="false">
      <c r="A1" s="7" t="s">
        <v>405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E2" s="97" t="s">
        <v>378</v>
      </c>
      <c r="F2" s="97"/>
      <c r="G2" s="97"/>
      <c r="H2" s="97"/>
      <c r="I2" s="97"/>
      <c r="J2" s="97"/>
      <c r="K2" s="97"/>
      <c r="L2" s="97"/>
      <c r="M2" s="97"/>
      <c r="N2" s="97" t="s">
        <v>379</v>
      </c>
      <c r="O2" s="97"/>
      <c r="P2" s="97"/>
      <c r="Q2" s="97"/>
      <c r="R2" s="97" t="s">
        <v>257</v>
      </c>
      <c r="S2" s="97"/>
      <c r="T2" s="97"/>
      <c r="U2" s="97"/>
      <c r="V2" s="97" t="s">
        <v>258</v>
      </c>
      <c r="W2" s="97"/>
      <c r="X2" s="97"/>
      <c r="Y2" s="97"/>
      <c r="Z2" s="97" t="s">
        <v>259</v>
      </c>
      <c r="AA2" s="97"/>
      <c r="AB2" s="97"/>
      <c r="AC2" s="97"/>
    </row>
    <row r="3" customFormat="false" ht="15" hidden="false" customHeight="true" outlineLevel="0" collapsed="false">
      <c r="A3" s="9"/>
      <c r="B3" s="10" t="s">
        <v>406</v>
      </c>
      <c r="C3" s="69" t="s">
        <v>261</v>
      </c>
      <c r="D3" s="9"/>
      <c r="E3" s="70" t="s">
        <v>263</v>
      </c>
      <c r="F3" s="70" t="s">
        <v>264</v>
      </c>
      <c r="G3" s="70" t="s">
        <v>265</v>
      </c>
      <c r="H3" s="70" t="s">
        <v>266</v>
      </c>
      <c r="I3" s="70" t="s">
        <v>267</v>
      </c>
      <c r="J3" s="70" t="s">
        <v>268</v>
      </c>
      <c r="K3" s="70" t="s">
        <v>269</v>
      </c>
      <c r="L3" s="70" t="s">
        <v>270</v>
      </c>
      <c r="M3" s="70" t="s">
        <v>271</v>
      </c>
      <c r="N3" s="70" t="s">
        <v>272</v>
      </c>
      <c r="O3" s="70" t="s">
        <v>273</v>
      </c>
      <c r="P3" s="70" t="s">
        <v>274</v>
      </c>
      <c r="Q3" s="70" t="s">
        <v>275</v>
      </c>
      <c r="R3" s="70" t="s">
        <v>272</v>
      </c>
      <c r="S3" s="70" t="s">
        <v>273</v>
      </c>
      <c r="T3" s="70" t="s">
        <v>274</v>
      </c>
      <c r="U3" s="70" t="s">
        <v>275</v>
      </c>
      <c r="V3" s="70" t="s">
        <v>272</v>
      </c>
      <c r="W3" s="70" t="s">
        <v>273</v>
      </c>
      <c r="X3" s="70" t="s">
        <v>274</v>
      </c>
      <c r="Y3" s="70" t="s">
        <v>275</v>
      </c>
      <c r="Z3" s="70" t="s">
        <v>272</v>
      </c>
      <c r="AA3" s="70" t="s">
        <v>273</v>
      </c>
      <c r="AB3" s="70" t="s">
        <v>274</v>
      </c>
      <c r="AC3" s="70" t="s">
        <v>275</v>
      </c>
    </row>
    <row r="5" customFormat="false" ht="15" hidden="false" customHeight="true" outlineLevel="0" collapsed="false">
      <c r="B5" s="13" t="s">
        <v>407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customFormat="false" ht="15" hidden="false" customHeight="true" outlineLevel="0" collapsed="false">
      <c r="A6" s="21"/>
      <c r="B6" s="22" t="s">
        <v>408</v>
      </c>
      <c r="C6" s="23" t="s">
        <v>311</v>
      </c>
      <c r="D6" s="21"/>
      <c r="E6" s="82" t="n">
        <f aca="false">3_CashFlow!E27</f>
        <v>2931916.33333333</v>
      </c>
      <c r="F6" s="82" t="n">
        <f aca="false">3_CashFlow!F27</f>
        <v>2875091.90666667</v>
      </c>
      <c r="G6" s="82" t="n">
        <f aca="false">3_CashFlow!G27</f>
        <v>2822758.32</v>
      </c>
      <c r="H6" s="82" t="n">
        <f aca="false">3_CashFlow!H27</f>
        <v>2740889.66728526</v>
      </c>
      <c r="I6" s="82" t="n">
        <f aca="false">3_CashFlow!I27</f>
        <v>2639695.3661736</v>
      </c>
      <c r="J6" s="82" t="n">
        <f aca="false">3_CashFlow!J27</f>
        <v>2567558.35927518</v>
      </c>
      <c r="K6" s="82" t="n">
        <f aca="false">3_CashFlow!K27</f>
        <v>2501273.28212814</v>
      </c>
      <c r="L6" s="82" t="n">
        <f aca="false">3_CashFlow!L27</f>
        <v>2392118.64414734</v>
      </c>
      <c r="M6" s="82" t="n">
        <f aca="false">3_CashFlow!M27</f>
        <v>2321361.97749051</v>
      </c>
      <c r="N6" s="82" t="n">
        <f aca="false">3_CashFlow!N27</f>
        <v>1912465.97463023</v>
      </c>
      <c r="O6" s="82" t="n">
        <f aca="false">3_CashFlow!O27</f>
        <v>1507478.8252891</v>
      </c>
      <c r="P6" s="82" t="n">
        <f aca="false">3_CashFlow!P27</f>
        <v>1102708.64875921</v>
      </c>
      <c r="Q6" s="82" t="n">
        <f aca="false">3_CashFlow!Q27</f>
        <v>606640.61349273</v>
      </c>
      <c r="R6" s="82" t="n">
        <f aca="false">3_CashFlow!R27</f>
        <v>226579.205740295</v>
      </c>
      <c r="S6" s="82" t="n">
        <f aca="false">3_CashFlow!S27</f>
        <v>-138785.959341139</v>
      </c>
      <c r="T6" s="82" t="n">
        <f aca="false">3_CashFlow!T27</f>
        <v>-384579.999682672</v>
      </c>
      <c r="U6" s="82" t="n">
        <f aca="false">3_CashFlow!U27</f>
        <v>-513707.381519535</v>
      </c>
      <c r="V6" s="82" t="n">
        <f aca="false">3_CashFlow!V27</f>
        <v>-421561.338689212</v>
      </c>
      <c r="W6" s="82" t="n">
        <f aca="false">3_CashFlow!W27</f>
        <v>-177119.326345967</v>
      </c>
      <c r="X6" s="82" t="n">
        <f aca="false">3_CashFlow!X27</f>
        <v>312201.791690297</v>
      </c>
      <c r="Y6" s="82" t="n">
        <f aca="false">3_CashFlow!Y27</f>
        <v>1017938.29688941</v>
      </c>
      <c r="Z6" s="82" t="n">
        <f aca="false">3_CashFlow!Z27</f>
        <v>1996106.00759259</v>
      </c>
      <c r="AA6" s="82" t="n">
        <f aca="false">3_CashFlow!AA27</f>
        <v>3212338.13032446</v>
      </c>
      <c r="AB6" s="82" t="n">
        <f aca="false">3_CashFlow!AB27</f>
        <v>4713390.4303979</v>
      </c>
      <c r="AC6" s="82" t="n">
        <f aca="false">3_CashFlow!AC27</f>
        <v>6517560.97177179</v>
      </c>
    </row>
    <row r="7" customFormat="false" ht="15" hidden="false" customHeight="true" outlineLevel="0" collapsed="false">
      <c r="A7" s="16"/>
      <c r="B7" s="17" t="s">
        <v>409</v>
      </c>
      <c r="C7" s="18" t="s">
        <v>311</v>
      </c>
      <c r="D7" s="16"/>
      <c r="E7" s="84" t="n">
        <f aca="false">3_CashFlow!E11</f>
        <v>13446.08</v>
      </c>
      <c r="F7" s="84" t="n">
        <f aca="false">3_CashFlow!F11</f>
        <v>18693.66</v>
      </c>
      <c r="G7" s="84" t="n">
        <f aca="false">3_CashFlow!G11</f>
        <v>33398.754</v>
      </c>
      <c r="H7" s="84" t="n">
        <f aca="false">3_CashFlow!H11</f>
        <v>47523.68204055</v>
      </c>
      <c r="I7" s="84" t="n">
        <f aca="false">3_CashFlow!I11</f>
        <v>85709.8148421638</v>
      </c>
      <c r="J7" s="84" t="n">
        <f aca="false">3_CashFlow!J11</f>
        <v>88404.3954567345</v>
      </c>
      <c r="K7" s="84" t="n">
        <f aca="false">3_CashFlow!K11</f>
        <v>84503.3461622895</v>
      </c>
      <c r="L7" s="84" t="n">
        <f aca="false">3_CashFlow!L11</f>
        <v>134666.694424766</v>
      </c>
      <c r="M7" s="84" t="n">
        <f aca="false">3_CashFlow!M11</f>
        <v>139029.359452338</v>
      </c>
      <c r="N7" s="84" t="n">
        <f aca="false">3_CashFlow!N11</f>
        <v>252410.961677792</v>
      </c>
      <c r="O7" s="84" t="n">
        <f aca="false">3_CashFlow!O11</f>
        <v>359131.991929689</v>
      </c>
      <c r="P7" s="84" t="n">
        <f aca="false">3_CashFlow!P11</f>
        <v>496582.624211376</v>
      </c>
      <c r="Q7" s="84" t="n">
        <f aca="false">3_CashFlow!Q11</f>
        <v>680388.483952948</v>
      </c>
      <c r="R7" s="84" t="n">
        <f aca="false">3_CashFlow!R11</f>
        <v>841192.799698669</v>
      </c>
      <c r="S7" s="84" t="n">
        <f aca="false">3_CashFlow!S11</f>
        <v>1045626.56596718</v>
      </c>
      <c r="T7" s="84" t="n">
        <f aca="false">3_CashFlow!T11</f>
        <v>1278469.00043246</v>
      </c>
      <c r="U7" s="84" t="n">
        <f aca="false">3_CashFlow!U11</f>
        <v>1571241.04340364</v>
      </c>
      <c r="V7" s="84" t="n">
        <f aca="false">3_CashFlow!V11</f>
        <v>1816503.81571968</v>
      </c>
      <c r="W7" s="84" t="n">
        <f aca="false">3_CashFlow!W11</f>
        <v>2066998.05066443</v>
      </c>
      <c r="X7" s="84" t="n">
        <f aca="false">3_CashFlow!X11</f>
        <v>2271454.28313643</v>
      </c>
      <c r="Y7" s="84" t="n">
        <f aca="false">3_CashFlow!Y11</f>
        <v>2515761.72477433</v>
      </c>
      <c r="Z7" s="84" t="n">
        <f aca="false">3_CashFlow!Z11</f>
        <v>2754005.42657845</v>
      </c>
      <c r="AA7" s="84" t="n">
        <f aca="false">3_CashFlow!AA11</f>
        <v>2958480.8998262</v>
      </c>
      <c r="AB7" s="84" t="n">
        <f aca="false">3_CashFlow!AB11</f>
        <v>3163919.11004497</v>
      </c>
      <c r="AC7" s="84" t="n">
        <f aca="false">3_CashFlow!AC11</f>
        <v>3375865.90133624</v>
      </c>
    </row>
    <row r="8" customFormat="false" ht="15" hidden="false" customHeight="true" outlineLevel="0" collapsed="false">
      <c r="A8" s="21"/>
      <c r="B8" s="22" t="s">
        <v>410</v>
      </c>
      <c r="C8" s="23" t="s">
        <v>311</v>
      </c>
      <c r="D8" s="21"/>
      <c r="E8" s="82" t="n">
        <f aca="false">E6+E7</f>
        <v>2945362.41333333</v>
      </c>
      <c r="F8" s="82" t="n">
        <f aca="false">F6+F7</f>
        <v>2893785.56666667</v>
      </c>
      <c r="G8" s="82" t="n">
        <f aca="false">G6+G7</f>
        <v>2856157.074</v>
      </c>
      <c r="H8" s="82" t="n">
        <f aca="false">H6+H7</f>
        <v>2788413.34932581</v>
      </c>
      <c r="I8" s="82" t="n">
        <f aca="false">I6+I7</f>
        <v>2725405.18101577</v>
      </c>
      <c r="J8" s="82" t="n">
        <f aca="false">J6+J7</f>
        <v>2655962.75473191</v>
      </c>
      <c r="K8" s="82" t="n">
        <f aca="false">K6+K7</f>
        <v>2585776.62829043</v>
      </c>
      <c r="L8" s="82" t="n">
        <f aca="false">L6+L7</f>
        <v>2526785.33857211</v>
      </c>
      <c r="M8" s="82" t="n">
        <f aca="false">M6+M7</f>
        <v>2460391.33694285</v>
      </c>
      <c r="N8" s="82" t="n">
        <f aca="false">N6+N7</f>
        <v>2164876.93630802</v>
      </c>
      <c r="O8" s="82" t="n">
        <f aca="false">O6+O7</f>
        <v>1866610.81721879</v>
      </c>
      <c r="P8" s="82" t="n">
        <f aca="false">P6+P7</f>
        <v>1599291.27297058</v>
      </c>
      <c r="Q8" s="82" t="n">
        <f aca="false">Q6+Q7</f>
        <v>1287029.09744568</v>
      </c>
      <c r="R8" s="82" t="n">
        <f aca="false">R6+R7</f>
        <v>1067772.00543896</v>
      </c>
      <c r="S8" s="82" t="n">
        <f aca="false">S6+S7</f>
        <v>906840.606626038</v>
      </c>
      <c r="T8" s="82" t="n">
        <f aca="false">T6+T7</f>
        <v>893889.000749792</v>
      </c>
      <c r="U8" s="82" t="n">
        <f aca="false">U6+U7</f>
        <v>1057533.6618841</v>
      </c>
      <c r="V8" s="82" t="n">
        <f aca="false">V6+V7</f>
        <v>1394942.47703046</v>
      </c>
      <c r="W8" s="82" t="n">
        <f aca="false">W6+W7</f>
        <v>1889878.72431846</v>
      </c>
      <c r="X8" s="82" t="n">
        <f aca="false">X6+X7</f>
        <v>2583656.07482672</v>
      </c>
      <c r="Y8" s="82" t="n">
        <f aca="false">Y6+Y7</f>
        <v>3533700.02166374</v>
      </c>
      <c r="Z8" s="82" t="n">
        <f aca="false">Z6+Z7</f>
        <v>4750111.43417104</v>
      </c>
      <c r="AA8" s="82" t="n">
        <f aca="false">AA6+AA7</f>
        <v>6170819.03015067</v>
      </c>
      <c r="AB8" s="82" t="n">
        <f aca="false">AB6+AB7</f>
        <v>7877309.54044287</v>
      </c>
      <c r="AC8" s="82" t="n">
        <f aca="false">AC6+AC7</f>
        <v>9893426.87310804</v>
      </c>
    </row>
    <row r="9" customFormat="false" ht="15" hidden="false" customHeight="true" outlineLevel="0" collapsed="false">
      <c r="A9" s="16"/>
      <c r="B9" s="17" t="s">
        <v>411</v>
      </c>
      <c r="C9" s="18" t="s">
        <v>311</v>
      </c>
      <c r="D9" s="16"/>
      <c r="E9" s="84" t="n">
        <f aca="false">3_CashFlow!E18</f>
        <v>0</v>
      </c>
      <c r="F9" s="84" t="n">
        <f aca="false">E9+3_CashFlow!F18</f>
        <v>0</v>
      </c>
      <c r="G9" s="84" t="n">
        <f aca="false">F9+3_CashFlow!G18</f>
        <v>0</v>
      </c>
      <c r="H9" s="84" t="n">
        <f aca="false">G9+3_CashFlow!H18</f>
        <v>0</v>
      </c>
      <c r="I9" s="84" t="n">
        <f aca="false">H9+3_CashFlow!I18</f>
        <v>0</v>
      </c>
      <c r="J9" s="84" t="n">
        <f aca="false">I9+3_CashFlow!J18</f>
        <v>0</v>
      </c>
      <c r="K9" s="84" t="n">
        <f aca="false">J9+3_CashFlow!K18</f>
        <v>0</v>
      </c>
      <c r="L9" s="84" t="n">
        <f aca="false">K9+3_CashFlow!L18</f>
        <v>0</v>
      </c>
      <c r="M9" s="84" t="n">
        <f aca="false">L9+3_CashFlow!M18</f>
        <v>0</v>
      </c>
      <c r="N9" s="84" t="n">
        <f aca="false">M9+3_CashFlow!N18</f>
        <v>0</v>
      </c>
      <c r="O9" s="84" t="n">
        <f aca="false">N9+3_CashFlow!O18</f>
        <v>0</v>
      </c>
      <c r="P9" s="84" t="n">
        <f aca="false">O9+3_CashFlow!P18</f>
        <v>0</v>
      </c>
      <c r="Q9" s="84" t="n">
        <f aca="false">P9+3_CashFlow!Q18</f>
        <v>0</v>
      </c>
      <c r="R9" s="84" t="n">
        <f aca="false">Q9+3_CashFlow!R18</f>
        <v>0</v>
      </c>
      <c r="S9" s="84" t="n">
        <f aca="false">R9+3_CashFlow!S18</f>
        <v>0</v>
      </c>
      <c r="T9" s="84" t="n">
        <f aca="false">S9+3_CashFlow!T18</f>
        <v>0</v>
      </c>
      <c r="U9" s="84" t="n">
        <f aca="false">T9+3_CashFlow!U18</f>
        <v>0</v>
      </c>
      <c r="V9" s="84" t="n">
        <f aca="false">U9+3_CashFlow!V18</f>
        <v>0</v>
      </c>
      <c r="W9" s="84" t="n">
        <f aca="false">V9+3_CashFlow!W18</f>
        <v>0</v>
      </c>
      <c r="X9" s="84" t="n">
        <f aca="false">W9+3_CashFlow!X18</f>
        <v>0</v>
      </c>
      <c r="Y9" s="84" t="n">
        <f aca="false">X9+3_CashFlow!Y18</f>
        <v>0</v>
      </c>
      <c r="Z9" s="84" t="n">
        <f aca="false">Y9+3_CashFlow!Z18</f>
        <v>0</v>
      </c>
      <c r="AA9" s="84" t="n">
        <f aca="false">Z9+3_CashFlow!AA18</f>
        <v>0</v>
      </c>
      <c r="AB9" s="84" t="n">
        <f aca="false">AA9+3_CashFlow!AB18</f>
        <v>0</v>
      </c>
      <c r="AC9" s="84" t="n">
        <f aca="false">AB9+3_CashFlow!AC18</f>
        <v>0</v>
      </c>
    </row>
    <row r="10" customFormat="false" ht="15" hidden="false" customHeight="true" outlineLevel="0" collapsed="false">
      <c r="A10" s="21"/>
      <c r="B10" s="22" t="s">
        <v>412</v>
      </c>
      <c r="C10" s="23" t="s">
        <v>311</v>
      </c>
      <c r="D10" s="21"/>
      <c r="E10" s="82" t="n">
        <f aca="false">3_CashFlow!E10</f>
        <v>0</v>
      </c>
      <c r="F10" s="82" t="n">
        <f aca="false">E10+3_CashFlow!F10</f>
        <v>0</v>
      </c>
      <c r="G10" s="82" t="n">
        <f aca="false">F10+3_CashFlow!G10</f>
        <v>0</v>
      </c>
      <c r="H10" s="82" t="n">
        <f aca="false">G10+3_CashFlow!H10</f>
        <v>0</v>
      </c>
      <c r="I10" s="82" t="n">
        <f aca="false">H10+3_CashFlow!I10</f>
        <v>0</v>
      </c>
      <c r="J10" s="82" t="n">
        <f aca="false">I10+3_CashFlow!J10</f>
        <v>0</v>
      </c>
      <c r="K10" s="82" t="n">
        <f aca="false">J10+3_CashFlow!K10</f>
        <v>0</v>
      </c>
      <c r="L10" s="82" t="n">
        <f aca="false">K10+3_CashFlow!L10</f>
        <v>0</v>
      </c>
      <c r="M10" s="82" t="n">
        <f aca="false">L10+3_CashFlow!M10</f>
        <v>0</v>
      </c>
      <c r="N10" s="82" t="n">
        <f aca="false">M10+3_CashFlow!N10</f>
        <v>0</v>
      </c>
      <c r="O10" s="82" t="n">
        <f aca="false">N10+3_CashFlow!O10</f>
        <v>0</v>
      </c>
      <c r="P10" s="82" t="n">
        <f aca="false">O10+3_CashFlow!P10</f>
        <v>0</v>
      </c>
      <c r="Q10" s="82" t="n">
        <f aca="false">P10+3_CashFlow!Q10</f>
        <v>0</v>
      </c>
      <c r="R10" s="82" t="n">
        <f aca="false">Q10+3_CashFlow!R10</f>
        <v>0</v>
      </c>
      <c r="S10" s="82" t="n">
        <f aca="false">R10+3_CashFlow!S10</f>
        <v>0</v>
      </c>
      <c r="T10" s="82" t="n">
        <f aca="false">S10+3_CashFlow!T10</f>
        <v>0</v>
      </c>
      <c r="U10" s="82" t="n">
        <f aca="false">T10+3_CashFlow!U10</f>
        <v>0</v>
      </c>
      <c r="V10" s="82" t="n">
        <f aca="false">U10+3_CashFlow!V10</f>
        <v>0</v>
      </c>
      <c r="W10" s="82" t="n">
        <f aca="false">V10+3_CashFlow!W10</f>
        <v>0</v>
      </c>
      <c r="X10" s="82" t="n">
        <f aca="false">W10+3_CashFlow!X10</f>
        <v>0</v>
      </c>
      <c r="Y10" s="82" t="n">
        <f aca="false">X10+3_CashFlow!Y10</f>
        <v>0</v>
      </c>
      <c r="Z10" s="82" t="n">
        <f aca="false">Y10+3_CashFlow!Z10</f>
        <v>0</v>
      </c>
      <c r="AA10" s="82" t="n">
        <f aca="false">Z10+3_CashFlow!AA10</f>
        <v>0</v>
      </c>
      <c r="AB10" s="82" t="n">
        <f aca="false">AA10+3_CashFlow!AB10</f>
        <v>0</v>
      </c>
      <c r="AC10" s="82" t="n">
        <f aca="false">AB10+3_CashFlow!AC10</f>
        <v>0</v>
      </c>
    </row>
    <row r="11" customFormat="false" ht="15" hidden="false" customHeight="true" outlineLevel="0" collapsed="false">
      <c r="A11" s="16"/>
      <c r="B11" s="17" t="s">
        <v>413</v>
      </c>
      <c r="C11" s="18" t="s">
        <v>311</v>
      </c>
      <c r="D11" s="16"/>
      <c r="E11" s="84" t="n">
        <f aca="false">MAX(0,E9-E10)</f>
        <v>0</v>
      </c>
      <c r="F11" s="84" t="n">
        <f aca="false">MAX(0,F9-F10)</f>
        <v>0</v>
      </c>
      <c r="G11" s="84" t="n">
        <f aca="false">MAX(0,G9-G10)</f>
        <v>0</v>
      </c>
      <c r="H11" s="84" t="n">
        <f aca="false">MAX(0,H9-H10)</f>
        <v>0</v>
      </c>
      <c r="I11" s="84" t="n">
        <f aca="false">MAX(0,I9-I10)</f>
        <v>0</v>
      </c>
      <c r="J11" s="84" t="n">
        <f aca="false">MAX(0,J9-J10)</f>
        <v>0</v>
      </c>
      <c r="K11" s="84" t="n">
        <f aca="false">MAX(0,K9-K10)</f>
        <v>0</v>
      </c>
      <c r="L11" s="84" t="n">
        <f aca="false">MAX(0,L9-L10)</f>
        <v>0</v>
      </c>
      <c r="M11" s="84" t="n">
        <f aca="false">MAX(0,M9-M10)</f>
        <v>0</v>
      </c>
      <c r="N11" s="84" t="n">
        <f aca="false">MAX(0,N9-N10)</f>
        <v>0</v>
      </c>
      <c r="O11" s="84" t="n">
        <f aca="false">MAX(0,O9-O10)</f>
        <v>0</v>
      </c>
      <c r="P11" s="84" t="n">
        <f aca="false">MAX(0,P9-P10)</f>
        <v>0</v>
      </c>
      <c r="Q11" s="84" t="n">
        <f aca="false">MAX(0,Q9-Q10)</f>
        <v>0</v>
      </c>
      <c r="R11" s="84" t="n">
        <f aca="false">MAX(0,R9-R10)</f>
        <v>0</v>
      </c>
      <c r="S11" s="84" t="n">
        <f aca="false">MAX(0,S9-S10)</f>
        <v>0</v>
      </c>
      <c r="T11" s="84" t="n">
        <f aca="false">MAX(0,T9-T10)</f>
        <v>0</v>
      </c>
      <c r="U11" s="84" t="n">
        <f aca="false">MAX(0,U9-U10)</f>
        <v>0</v>
      </c>
      <c r="V11" s="84" t="n">
        <f aca="false">MAX(0,V9-V10)</f>
        <v>0</v>
      </c>
      <c r="W11" s="84" t="n">
        <f aca="false">MAX(0,W9-W10)</f>
        <v>0</v>
      </c>
      <c r="X11" s="84" t="n">
        <f aca="false">MAX(0,X9-X10)</f>
        <v>0</v>
      </c>
      <c r="Y11" s="84" t="n">
        <f aca="false">MAX(0,Y9-Y10)</f>
        <v>0</v>
      </c>
      <c r="Z11" s="84" t="n">
        <f aca="false">MAX(0,Z9-Z10)</f>
        <v>0</v>
      </c>
      <c r="AA11" s="84" t="n">
        <f aca="false">MAX(0,AA9-AA10)</f>
        <v>0</v>
      </c>
      <c r="AB11" s="84" t="n">
        <f aca="false">MAX(0,AB9-AB10)</f>
        <v>0</v>
      </c>
      <c r="AC11" s="84" t="n">
        <f aca="false">MAX(0,AC9-AC10)</f>
        <v>0</v>
      </c>
    </row>
    <row r="12" customFormat="false" ht="15" hidden="false" customHeight="true" outlineLevel="0" collapsed="false">
      <c r="A12" s="86"/>
      <c r="B12" s="87" t="s">
        <v>414</v>
      </c>
      <c r="C12" s="88" t="s">
        <v>311</v>
      </c>
      <c r="D12" s="89"/>
      <c r="E12" s="89" t="n">
        <f aca="false">E8+E11</f>
        <v>2945362.41333333</v>
      </c>
      <c r="F12" s="89" t="n">
        <f aca="false">F8+F11</f>
        <v>2893785.56666667</v>
      </c>
      <c r="G12" s="89" t="n">
        <f aca="false">G8+G11</f>
        <v>2856157.074</v>
      </c>
      <c r="H12" s="89" t="n">
        <f aca="false">H8+H11</f>
        <v>2788413.34932581</v>
      </c>
      <c r="I12" s="89" t="n">
        <f aca="false">I8+I11</f>
        <v>2725405.18101577</v>
      </c>
      <c r="J12" s="89" t="n">
        <f aca="false">J8+J11</f>
        <v>2655962.75473191</v>
      </c>
      <c r="K12" s="89" t="n">
        <f aca="false">K8+K11</f>
        <v>2585776.62829043</v>
      </c>
      <c r="L12" s="89" t="n">
        <f aca="false">L8+L11</f>
        <v>2526785.33857211</v>
      </c>
      <c r="M12" s="89" t="n">
        <f aca="false">M8+M11</f>
        <v>2460391.33694285</v>
      </c>
      <c r="N12" s="89" t="n">
        <f aca="false">N8+N11</f>
        <v>2164876.93630802</v>
      </c>
      <c r="O12" s="89" t="n">
        <f aca="false">O8+O11</f>
        <v>1866610.81721879</v>
      </c>
      <c r="P12" s="89" t="n">
        <f aca="false">P8+P11</f>
        <v>1599291.27297058</v>
      </c>
      <c r="Q12" s="89" t="n">
        <f aca="false">Q8+Q11</f>
        <v>1287029.09744568</v>
      </c>
      <c r="R12" s="89" t="n">
        <f aca="false">R8+R11</f>
        <v>1067772.00543896</v>
      </c>
      <c r="S12" s="89" t="n">
        <f aca="false">S8+S11</f>
        <v>906840.606626038</v>
      </c>
      <c r="T12" s="89" t="n">
        <f aca="false">T8+T11</f>
        <v>893889.000749792</v>
      </c>
      <c r="U12" s="89" t="n">
        <f aca="false">U8+U11</f>
        <v>1057533.6618841</v>
      </c>
      <c r="V12" s="89" t="n">
        <f aca="false">V8+V11</f>
        <v>1394942.47703046</v>
      </c>
      <c r="W12" s="89" t="n">
        <f aca="false">W8+W11</f>
        <v>1889878.72431846</v>
      </c>
      <c r="X12" s="89" t="n">
        <f aca="false">X8+X11</f>
        <v>2583656.07482672</v>
      </c>
      <c r="Y12" s="89" t="n">
        <f aca="false">Y8+Y11</f>
        <v>3533700.02166374</v>
      </c>
      <c r="Z12" s="89" t="n">
        <f aca="false">Z8+Z11</f>
        <v>4750111.43417104</v>
      </c>
      <c r="AA12" s="89" t="n">
        <f aca="false">AA8+AA11</f>
        <v>6170819.03015067</v>
      </c>
      <c r="AB12" s="89" t="n">
        <f aca="false">AB8+AB11</f>
        <v>7877309.54044287</v>
      </c>
      <c r="AC12" s="89" t="n">
        <f aca="false">AC8+AC11</f>
        <v>9893426.87310804</v>
      </c>
    </row>
    <row r="14" customFormat="false" ht="15" hidden="false" customHeight="true" outlineLevel="0" collapsed="false">
      <c r="A14" s="27"/>
      <c r="B14" s="28" t="s">
        <v>415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customFormat="false" ht="15" hidden="false" customHeight="true" outlineLevel="0" collapsed="false">
      <c r="A15" s="21"/>
      <c r="B15" s="22" t="s">
        <v>416</v>
      </c>
      <c r="C15" s="23" t="s">
        <v>311</v>
      </c>
      <c r="D15" s="21"/>
      <c r="E15" s="82" t="n">
        <f aca="false">3_CashFlow!E12</f>
        <v>2186.84</v>
      </c>
      <c r="F15" s="82" t="n">
        <f aca="false">3_CashFlow!F12</f>
        <v>2943.58</v>
      </c>
      <c r="G15" s="82" t="n">
        <f aca="false">3_CashFlow!G12</f>
        <v>5432.486</v>
      </c>
      <c r="H15" s="82" t="n">
        <f aca="false">3_CashFlow!H12</f>
        <v>7797.0576838875</v>
      </c>
      <c r="I15" s="82" t="n">
        <f aca="false">3_CashFlow!I12</f>
        <v>15315.0880393113</v>
      </c>
      <c r="J15" s="82" t="n">
        <f aca="false">3_CashFlow!J12</f>
        <v>15918.9881524994</v>
      </c>
      <c r="K15" s="82" t="n">
        <f aca="false">3_CashFlow!K12</f>
        <v>15233.6408924071</v>
      </c>
      <c r="L15" s="82" t="n">
        <f aca="false">3_CashFlow!L12</f>
        <v>24452.6074726477</v>
      </c>
      <c r="M15" s="82" t="n">
        <f aca="false">3_CashFlow!M12</f>
        <v>25253.568167574</v>
      </c>
      <c r="N15" s="82" t="n">
        <f aca="false">3_CashFlow!N12</f>
        <v>46270.896566323</v>
      </c>
      <c r="O15" s="82" t="n">
        <f aca="false">3_CashFlow!O12</f>
        <v>65195.2551169626</v>
      </c>
      <c r="P15" s="82" t="n">
        <f aca="false">3_CashFlow!P12</f>
        <v>89149.7229124363</v>
      </c>
      <c r="Q15" s="82" t="n">
        <f aca="false">3_CashFlow!Q12</f>
        <v>121496.754726944</v>
      </c>
      <c r="R15" s="82" t="n">
        <f aca="false">3_CashFlow!R12</f>
        <v>150687.244507048</v>
      </c>
      <c r="S15" s="82" t="n">
        <f aca="false">3_CashFlow!S12</f>
        <v>186658.64910079</v>
      </c>
      <c r="T15" s="82" t="n">
        <f aca="false">3_CashFlow!T12</f>
        <v>228196.526105041</v>
      </c>
      <c r="U15" s="82" t="n">
        <f aca="false">3_CashFlow!U12</f>
        <v>280388.567986847</v>
      </c>
      <c r="V15" s="82" t="n">
        <f aca="false">3_CashFlow!V12</f>
        <v>323802.426735653</v>
      </c>
      <c r="W15" s="82" t="n">
        <f aca="false">3_CashFlow!W12</f>
        <v>367939.643955482</v>
      </c>
      <c r="X15" s="82" t="n">
        <f aca="false">3_CashFlow!X12</f>
        <v>403582.546064459</v>
      </c>
      <c r="Y15" s="82" t="n">
        <f aca="false">3_CashFlow!Y12</f>
        <v>446613.019800991</v>
      </c>
      <c r="Z15" s="82" t="n">
        <f aca="false">3_CashFlow!Z12</f>
        <v>488728.906080585</v>
      </c>
      <c r="AA15" s="82" t="n">
        <f aca="false">3_CashFlow!AA12</f>
        <v>524464.70650202</v>
      </c>
      <c r="AB15" s="82" t="n">
        <f aca="false">3_CashFlow!AB12</f>
        <v>561402.478995049</v>
      </c>
      <c r="AC15" s="82" t="n">
        <f aca="false">3_CashFlow!AC12</f>
        <v>599598.00682255</v>
      </c>
    </row>
    <row r="16" customFormat="false" ht="15" hidden="false" customHeight="true" outlineLevel="0" collapsed="false">
      <c r="A16" s="16"/>
      <c r="B16" s="17" t="s">
        <v>417</v>
      </c>
      <c r="C16" s="18" t="s">
        <v>311</v>
      </c>
      <c r="D16" s="16"/>
      <c r="E16" s="83" t="n">
        <v>0</v>
      </c>
      <c r="F16" s="83" t="n">
        <v>0</v>
      </c>
      <c r="G16" s="83" t="n">
        <v>0</v>
      </c>
      <c r="H16" s="83" t="n">
        <v>0</v>
      </c>
      <c r="I16" s="83" t="n">
        <v>0</v>
      </c>
      <c r="J16" s="83" t="n">
        <v>0</v>
      </c>
      <c r="K16" s="83" t="n">
        <v>0</v>
      </c>
      <c r="L16" s="83" t="n">
        <v>0</v>
      </c>
      <c r="M16" s="83" t="n">
        <v>0</v>
      </c>
      <c r="N16" s="83" t="n">
        <v>0</v>
      </c>
      <c r="O16" s="83" t="n">
        <v>0</v>
      </c>
      <c r="P16" s="83" t="n">
        <v>0</v>
      </c>
      <c r="Q16" s="83" t="n">
        <v>0</v>
      </c>
      <c r="R16" s="83" t="n">
        <v>0</v>
      </c>
      <c r="S16" s="83" t="n">
        <v>0</v>
      </c>
      <c r="T16" s="83" t="n">
        <v>0</v>
      </c>
      <c r="U16" s="83" t="n">
        <v>0</v>
      </c>
      <c r="V16" s="83" t="n">
        <v>0</v>
      </c>
      <c r="W16" s="83" t="n">
        <v>0</v>
      </c>
      <c r="X16" s="83" t="n">
        <v>0</v>
      </c>
      <c r="Y16" s="83" t="n">
        <v>0</v>
      </c>
      <c r="Z16" s="83" t="n">
        <v>0</v>
      </c>
      <c r="AA16" s="83" t="n">
        <v>0</v>
      </c>
      <c r="AB16" s="83" t="n">
        <v>0</v>
      </c>
      <c r="AC16" s="83" t="n">
        <v>0</v>
      </c>
    </row>
    <row r="17" customFormat="false" ht="15" hidden="false" customHeight="true" outlineLevel="0" collapsed="false">
      <c r="A17" s="21"/>
      <c r="B17" s="22" t="s">
        <v>418</v>
      </c>
      <c r="C17" s="23" t="s">
        <v>311</v>
      </c>
      <c r="D17" s="21"/>
      <c r="E17" s="82" t="n">
        <f aca="false">E15+E16</f>
        <v>2186.84</v>
      </c>
      <c r="F17" s="82" t="n">
        <f aca="false">F15+F16</f>
        <v>2943.58</v>
      </c>
      <c r="G17" s="82" t="n">
        <f aca="false">G15+G16</f>
        <v>5432.486</v>
      </c>
      <c r="H17" s="82" t="n">
        <f aca="false">H15+H16</f>
        <v>7797.0576838875</v>
      </c>
      <c r="I17" s="82" t="n">
        <f aca="false">I15+I16</f>
        <v>15315.0880393113</v>
      </c>
      <c r="J17" s="82" t="n">
        <f aca="false">J15+J16</f>
        <v>15918.9881524994</v>
      </c>
      <c r="K17" s="82" t="n">
        <f aca="false">K15+K16</f>
        <v>15233.6408924071</v>
      </c>
      <c r="L17" s="82" t="n">
        <f aca="false">L15+L16</f>
        <v>24452.6074726477</v>
      </c>
      <c r="M17" s="82" t="n">
        <f aca="false">M15+M16</f>
        <v>25253.568167574</v>
      </c>
      <c r="N17" s="82" t="n">
        <f aca="false">N15+N16</f>
        <v>46270.896566323</v>
      </c>
      <c r="O17" s="82" t="n">
        <f aca="false">O15+O16</f>
        <v>65195.2551169626</v>
      </c>
      <c r="P17" s="82" t="n">
        <f aca="false">P15+P16</f>
        <v>89149.7229124363</v>
      </c>
      <c r="Q17" s="82" t="n">
        <f aca="false">Q15+Q16</f>
        <v>121496.754726944</v>
      </c>
      <c r="R17" s="82" t="n">
        <f aca="false">R15+R16</f>
        <v>150687.244507048</v>
      </c>
      <c r="S17" s="82" t="n">
        <f aca="false">S15+S16</f>
        <v>186658.64910079</v>
      </c>
      <c r="T17" s="82" t="n">
        <f aca="false">T15+T16</f>
        <v>228196.526105041</v>
      </c>
      <c r="U17" s="82" t="n">
        <f aca="false">U15+U16</f>
        <v>280388.567986847</v>
      </c>
      <c r="V17" s="82" t="n">
        <f aca="false">V15+V16</f>
        <v>323802.426735653</v>
      </c>
      <c r="W17" s="82" t="n">
        <f aca="false">W15+W16</f>
        <v>367939.643955482</v>
      </c>
      <c r="X17" s="82" t="n">
        <f aca="false">X15+X16</f>
        <v>403582.546064459</v>
      </c>
      <c r="Y17" s="82" t="n">
        <f aca="false">Y15+Y16</f>
        <v>446613.019800991</v>
      </c>
      <c r="Z17" s="82" t="n">
        <f aca="false">Z15+Z16</f>
        <v>488728.906080585</v>
      </c>
      <c r="AA17" s="82" t="n">
        <f aca="false">AA15+AA16</f>
        <v>524464.70650202</v>
      </c>
      <c r="AB17" s="82" t="n">
        <f aca="false">AB15+AB16</f>
        <v>561402.478995049</v>
      </c>
      <c r="AC17" s="82" t="n">
        <f aca="false">AC15+AC16</f>
        <v>599598.00682255</v>
      </c>
    </row>
    <row r="19" customFormat="false" ht="15" hidden="false" customHeight="true" outlineLevel="0" collapsed="false">
      <c r="A19" s="27"/>
      <c r="B19" s="28" t="s">
        <v>419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customFormat="false" ht="15" hidden="false" customHeight="true" outlineLevel="0" collapsed="false">
      <c r="A20" s="21"/>
      <c r="B20" s="22" t="s">
        <v>420</v>
      </c>
      <c r="C20" s="23" t="s">
        <v>311</v>
      </c>
      <c r="D20" s="21"/>
      <c r="E20" s="82" t="n">
        <f aca="false">3_CashFlow!E22</f>
        <v>3000000</v>
      </c>
      <c r="F20" s="82" t="n">
        <f aca="false">E20+3_CashFlow!F22</f>
        <v>3000000</v>
      </c>
      <c r="G20" s="82" t="n">
        <f aca="false">F20+3_CashFlow!G22</f>
        <v>3000000</v>
      </c>
      <c r="H20" s="82" t="n">
        <f aca="false">G20+3_CashFlow!H22</f>
        <v>3000000</v>
      </c>
      <c r="I20" s="82" t="n">
        <f aca="false">H20+3_CashFlow!I22</f>
        <v>3000000</v>
      </c>
      <c r="J20" s="82" t="n">
        <f aca="false">I20+3_CashFlow!J22</f>
        <v>3000000</v>
      </c>
      <c r="K20" s="82" t="n">
        <f aca="false">J20+3_CashFlow!K22</f>
        <v>3000000</v>
      </c>
      <c r="L20" s="82" t="n">
        <f aca="false">K20+3_CashFlow!L22</f>
        <v>3000000</v>
      </c>
      <c r="M20" s="82" t="n">
        <f aca="false">L20+3_CashFlow!M22</f>
        <v>3000000</v>
      </c>
      <c r="N20" s="82" t="n">
        <f aca="false">M20+3_CashFlow!N22</f>
        <v>3000000</v>
      </c>
      <c r="O20" s="82" t="n">
        <f aca="false">N20+3_CashFlow!O22</f>
        <v>3000000</v>
      </c>
      <c r="P20" s="82" t="n">
        <f aca="false">O20+3_CashFlow!P22</f>
        <v>3000000</v>
      </c>
      <c r="Q20" s="82" t="n">
        <f aca="false">P20+3_CashFlow!Q22</f>
        <v>3000000</v>
      </c>
      <c r="R20" s="82" t="n">
        <f aca="false">Q20+3_CashFlow!R22</f>
        <v>3000000</v>
      </c>
      <c r="S20" s="82" t="n">
        <f aca="false">R20+3_CashFlow!S22</f>
        <v>3000000</v>
      </c>
      <c r="T20" s="82" t="n">
        <f aca="false">S20+3_CashFlow!T22</f>
        <v>3000000</v>
      </c>
      <c r="U20" s="82" t="n">
        <f aca="false">T20+3_CashFlow!U22</f>
        <v>3000000</v>
      </c>
      <c r="V20" s="82" t="n">
        <f aca="false">U20+3_CashFlow!V22</f>
        <v>3000000</v>
      </c>
      <c r="W20" s="82" t="n">
        <f aca="false">V20+3_CashFlow!W22</f>
        <v>3000000</v>
      </c>
      <c r="X20" s="82" t="n">
        <f aca="false">W20+3_CashFlow!X22</f>
        <v>3000000</v>
      </c>
      <c r="Y20" s="82" t="n">
        <f aca="false">X20+3_CashFlow!Y22</f>
        <v>3000000</v>
      </c>
      <c r="Z20" s="82" t="n">
        <f aca="false">Y20+3_CashFlow!Z22</f>
        <v>3000000</v>
      </c>
      <c r="AA20" s="82" t="n">
        <f aca="false">Z20+3_CashFlow!AA22</f>
        <v>3000000</v>
      </c>
      <c r="AB20" s="82" t="n">
        <f aca="false">AA20+3_CashFlow!AB22</f>
        <v>3000000</v>
      </c>
      <c r="AC20" s="82" t="n">
        <f aca="false">AB20+3_CashFlow!AC22</f>
        <v>3000000</v>
      </c>
    </row>
    <row r="21" customFormat="false" ht="15" hidden="false" customHeight="true" outlineLevel="0" collapsed="false">
      <c r="A21" s="16"/>
      <c r="B21" s="17" t="s">
        <v>421</v>
      </c>
      <c r="C21" s="18" t="s">
        <v>311</v>
      </c>
      <c r="D21" s="16"/>
      <c r="E21" s="84" t="n">
        <f aca="false">2_Projections!E90</f>
        <v>-56824.4266666667</v>
      </c>
      <c r="F21" s="84" t="n">
        <f aca="false">E21+2_Projections!F90</f>
        <v>-109158.013333333</v>
      </c>
      <c r="G21" s="91" t="n">
        <f aca="false">F21+2_Projections!G90</f>
        <v>-149275.412</v>
      </c>
      <c r="H21" s="84" t="n">
        <f aca="false">G21+2_Projections!H90</f>
        <v>-219383.708358083</v>
      </c>
      <c r="I21" s="84" t="n">
        <f aca="false">H21+2_Projections!I90</f>
        <v>-289909.907023543</v>
      </c>
      <c r="J21" s="84" t="n">
        <f aca="false">I21+2_Projections!J90</f>
        <v>-359956.233420589</v>
      </c>
      <c r="K21" s="84" t="n">
        <f aca="false">J21+2_Projections!K90</f>
        <v>-429457.012601981</v>
      </c>
      <c r="L21" s="84" t="n">
        <f aca="false">K21+2_Projections!L90</f>
        <v>-497667.26890054</v>
      </c>
      <c r="M21" s="84" t="n">
        <f aca="false">L21+2_Projections!M90</f>
        <v>-564862.231224728</v>
      </c>
      <c r="N21" s="84" t="n">
        <f aca="false">M21+2_Projections!N90</f>
        <v>-881393.960258299</v>
      </c>
      <c r="O21" s="84" t="n">
        <f aca="false">N21+2_Projections!O90</f>
        <v>-1198584.43789817</v>
      </c>
      <c r="P21" s="84" t="n">
        <f aca="false">O21+2_Projections!P90</f>
        <v>-1489858.44994185</v>
      </c>
      <c r="Q21" s="84" t="n">
        <f aca="false">P21+2_Projections!Q90</f>
        <v>-1834467.65728127</v>
      </c>
      <c r="R21" s="84" t="n">
        <f aca="false">Q21+2_Projections!R90</f>
        <v>-2082915.23906808</v>
      </c>
      <c r="S21" s="84" t="n">
        <f aca="false">R21+2_Projections!S90</f>
        <v>-2279818.04247475</v>
      </c>
      <c r="T21" s="84" t="n">
        <f aca="false">S21+2_Projections!T90</f>
        <v>-2334307.52535525</v>
      </c>
      <c r="U21" s="84" t="n">
        <f aca="false">T21+2_Projections!U90</f>
        <v>-2222854.90610275</v>
      </c>
      <c r="V21" s="84" t="n">
        <f aca="false">U21+2_Projections!V90</f>
        <v>-1928859.94970519</v>
      </c>
      <c r="W21" s="84" t="n">
        <f aca="false">V21+2_Projections!W90</f>
        <v>-1478060.91963702</v>
      </c>
      <c r="X21" s="84" t="n">
        <f aca="false">W21+2_Projections!X90</f>
        <v>-819926.471237736</v>
      </c>
      <c r="Y21" s="84" t="n">
        <f aca="false">X21+2_Projections!Y90</f>
        <v>87087.0018627455</v>
      </c>
      <c r="Z21" s="84" t="n">
        <f aca="false">Y21+2_Projections!Z90</f>
        <v>1261382.52809046</v>
      </c>
      <c r="AA21" s="84" t="n">
        <f aca="false">Z21+2_Projections!AA90</f>
        <v>2646354.32364864</v>
      </c>
      <c r="AB21" s="84" t="n">
        <f aca="false">AA21+2_Projections!AB90</f>
        <v>4315907.06144782</v>
      </c>
      <c r="AC21" s="84" t="n">
        <f aca="false">AB21+2_Projections!AC90</f>
        <v>6293828.86628549</v>
      </c>
    </row>
    <row r="22" customFormat="false" ht="15" hidden="false" customHeight="true" outlineLevel="0" collapsed="false">
      <c r="A22" s="86"/>
      <c r="B22" s="87" t="s">
        <v>422</v>
      </c>
      <c r="C22" s="88" t="s">
        <v>311</v>
      </c>
      <c r="D22" s="89"/>
      <c r="E22" s="89" t="n">
        <f aca="false">E20+E21</f>
        <v>2943175.57333333</v>
      </c>
      <c r="F22" s="89" t="n">
        <f aca="false">F20+F21</f>
        <v>2890841.98666667</v>
      </c>
      <c r="G22" s="89" t="n">
        <f aca="false">G20+G21</f>
        <v>2850724.588</v>
      </c>
      <c r="H22" s="89" t="n">
        <f aca="false">H20+H21</f>
        <v>2780616.29164192</v>
      </c>
      <c r="I22" s="89" t="n">
        <f aca="false">I20+I21</f>
        <v>2710090.09297646</v>
      </c>
      <c r="J22" s="89" t="n">
        <f aca="false">J20+J21</f>
        <v>2640043.76657941</v>
      </c>
      <c r="K22" s="89" t="n">
        <f aca="false">K20+K21</f>
        <v>2570542.98739802</v>
      </c>
      <c r="L22" s="89" t="n">
        <f aca="false">L20+L21</f>
        <v>2502332.73109946</v>
      </c>
      <c r="M22" s="89" t="n">
        <f aca="false">M20+M21</f>
        <v>2435137.76877527</v>
      </c>
      <c r="N22" s="89" t="n">
        <f aca="false">N20+N21</f>
        <v>2118606.0397417</v>
      </c>
      <c r="O22" s="89" t="n">
        <f aca="false">O20+O21</f>
        <v>1801415.56210183</v>
      </c>
      <c r="P22" s="89" t="n">
        <f aca="false">P20+P21</f>
        <v>1510141.55005815</v>
      </c>
      <c r="Q22" s="89" t="n">
        <f aca="false">Q20+Q21</f>
        <v>1165532.34271873</v>
      </c>
      <c r="R22" s="89" t="n">
        <f aca="false">R20+R21</f>
        <v>917084.760931915</v>
      </c>
      <c r="S22" s="89" t="n">
        <f aca="false">S20+S21</f>
        <v>720181.957525248</v>
      </c>
      <c r="T22" s="89" t="n">
        <f aca="false">T20+T21</f>
        <v>665692.474644751</v>
      </c>
      <c r="U22" s="89" t="n">
        <f aca="false">U20+U21</f>
        <v>777145.093897255</v>
      </c>
      <c r="V22" s="89" t="n">
        <f aca="false">V20+V21</f>
        <v>1071140.05029481</v>
      </c>
      <c r="W22" s="89" t="n">
        <f aca="false">W20+W21</f>
        <v>1521939.08036298</v>
      </c>
      <c r="X22" s="89" t="n">
        <f aca="false">X20+X21</f>
        <v>2180073.52876226</v>
      </c>
      <c r="Y22" s="89" t="n">
        <f aca="false">Y20+Y21</f>
        <v>3087087.00186275</v>
      </c>
      <c r="Z22" s="89" t="n">
        <f aca="false">Z20+Z21</f>
        <v>4261382.52809046</v>
      </c>
      <c r="AA22" s="89" t="n">
        <f aca="false">AA20+AA21</f>
        <v>5646354.32364865</v>
      </c>
      <c r="AB22" s="89" t="n">
        <f aca="false">AB20+AB21</f>
        <v>7315907.06144782</v>
      </c>
      <c r="AC22" s="89" t="n">
        <f aca="false">AC20+AC21</f>
        <v>9293828.86628548</v>
      </c>
    </row>
    <row r="24" customFormat="false" ht="15" hidden="false" customHeight="true" outlineLevel="0" collapsed="false">
      <c r="A24" s="86"/>
      <c r="B24" s="87" t="s">
        <v>423</v>
      </c>
      <c r="C24" s="88" t="s">
        <v>311</v>
      </c>
      <c r="D24" s="89"/>
      <c r="E24" s="89" t="n">
        <f aca="false">E17+E22</f>
        <v>2945362.41333333</v>
      </c>
      <c r="F24" s="89" t="n">
        <f aca="false">F17+F22</f>
        <v>2893785.56666667</v>
      </c>
      <c r="G24" s="89" t="n">
        <f aca="false">G17+G22</f>
        <v>2856157.074</v>
      </c>
      <c r="H24" s="89" t="n">
        <f aca="false">H17+H22</f>
        <v>2788413.34932581</v>
      </c>
      <c r="I24" s="89" t="n">
        <f aca="false">I17+I22</f>
        <v>2725405.18101577</v>
      </c>
      <c r="J24" s="89" t="n">
        <f aca="false">J17+J22</f>
        <v>2655962.75473191</v>
      </c>
      <c r="K24" s="89" t="n">
        <f aca="false">K17+K22</f>
        <v>2585776.62829043</v>
      </c>
      <c r="L24" s="89" t="n">
        <f aca="false">L17+L22</f>
        <v>2526785.33857211</v>
      </c>
      <c r="M24" s="89" t="n">
        <f aca="false">M17+M22</f>
        <v>2460391.33694285</v>
      </c>
      <c r="N24" s="89" t="n">
        <f aca="false">N17+N22</f>
        <v>2164876.93630802</v>
      </c>
      <c r="O24" s="89" t="n">
        <f aca="false">O17+O22</f>
        <v>1866610.81721879</v>
      </c>
      <c r="P24" s="89" t="n">
        <f aca="false">P17+P22</f>
        <v>1599291.27297058</v>
      </c>
      <c r="Q24" s="89" t="n">
        <f aca="false">Q17+Q22</f>
        <v>1287029.09744568</v>
      </c>
      <c r="R24" s="89" t="n">
        <f aca="false">R17+R22</f>
        <v>1067772.00543896</v>
      </c>
      <c r="S24" s="89" t="n">
        <f aca="false">S17+S22</f>
        <v>906840.606626038</v>
      </c>
      <c r="T24" s="89" t="n">
        <f aca="false">T17+T22</f>
        <v>893889.000749792</v>
      </c>
      <c r="U24" s="89" t="n">
        <f aca="false">U17+U22</f>
        <v>1057533.6618841</v>
      </c>
      <c r="V24" s="89" t="n">
        <f aca="false">V17+V22</f>
        <v>1394942.47703046</v>
      </c>
      <c r="W24" s="89" t="n">
        <f aca="false">W17+W22</f>
        <v>1889878.72431846</v>
      </c>
      <c r="X24" s="89" t="n">
        <f aca="false">X17+X22</f>
        <v>2583656.07482672</v>
      </c>
      <c r="Y24" s="89" t="n">
        <f aca="false">Y17+Y22</f>
        <v>3533700.02166374</v>
      </c>
      <c r="Z24" s="89" t="n">
        <f aca="false">Z17+Z22</f>
        <v>4750111.43417104</v>
      </c>
      <c r="AA24" s="89" t="n">
        <f aca="false">AA17+AA22</f>
        <v>6170819.03015066</v>
      </c>
      <c r="AB24" s="89" t="n">
        <f aca="false">AB17+AB22</f>
        <v>7877309.54044287</v>
      </c>
      <c r="AC24" s="89" t="n">
        <f aca="false">AC17+AC22</f>
        <v>9893426.87310803</v>
      </c>
    </row>
    <row r="25" customFormat="false" ht="15" hidden="false" customHeight="true" outlineLevel="0" collapsed="false">
      <c r="A25" s="101"/>
      <c r="B25" s="101" t="s">
        <v>424</v>
      </c>
      <c r="C25" s="101" t="s">
        <v>311</v>
      </c>
      <c r="D25" s="101"/>
      <c r="E25" s="101" t="n">
        <f aca="false">E12-E24</f>
        <v>0</v>
      </c>
      <c r="F25" s="101" t="n">
        <f aca="false">F12-F24</f>
        <v>0</v>
      </c>
      <c r="G25" s="101" t="n">
        <f aca="false">G12-G24</f>
        <v>0</v>
      </c>
      <c r="H25" s="101" t="n">
        <f aca="false">H12-H24</f>
        <v>0</v>
      </c>
      <c r="I25" s="101" t="n">
        <f aca="false">I12-I24</f>
        <v>0</v>
      </c>
      <c r="J25" s="101" t="n">
        <f aca="false">J12-J24</f>
        <v>0</v>
      </c>
      <c r="K25" s="101" t="n">
        <f aca="false">K12-K24</f>
        <v>0</v>
      </c>
      <c r="L25" s="101" t="n">
        <f aca="false">L12-L24</f>
        <v>0</v>
      </c>
      <c r="M25" s="101" t="n">
        <f aca="false">M12-M24</f>
        <v>0</v>
      </c>
      <c r="N25" s="101" t="n">
        <f aca="false">N12-N24</f>
        <v>0</v>
      </c>
      <c r="O25" s="101" t="n">
        <f aca="false">O12-O24</f>
        <v>0</v>
      </c>
      <c r="P25" s="101" t="n">
        <f aca="false">P12-P24</f>
        <v>0</v>
      </c>
      <c r="Q25" s="101" t="n">
        <f aca="false">Q12-Q24</f>
        <v>0</v>
      </c>
      <c r="R25" s="101" t="n">
        <f aca="false">R12-R24</f>
        <v>0</v>
      </c>
      <c r="S25" s="101" t="n">
        <f aca="false">S12-S24</f>
        <v>0</v>
      </c>
      <c r="T25" s="101" t="n">
        <f aca="false">T12-T24</f>
        <v>0</v>
      </c>
      <c r="U25" s="101" t="n">
        <f aca="false">U12-U24</f>
        <v>0</v>
      </c>
      <c r="V25" s="101" t="n">
        <f aca="false">V12-V24</f>
        <v>0</v>
      </c>
      <c r="W25" s="101" t="n">
        <f aca="false">W12-W24</f>
        <v>0</v>
      </c>
      <c r="X25" s="101" t="n">
        <f aca="false">X12-X24</f>
        <v>0</v>
      </c>
      <c r="Y25" s="101" t="n">
        <f aca="false">Y12-Y24</f>
        <v>0</v>
      </c>
      <c r="Z25" s="101" t="n">
        <f aca="false">Z12-Z24</f>
        <v>0</v>
      </c>
      <c r="AA25" s="101" t="n">
        <f aca="false">AA12-AA24</f>
        <v>0</v>
      </c>
      <c r="AB25" s="101" t="n">
        <f aca="false">AB12-AB24</f>
        <v>0</v>
      </c>
      <c r="AC25" s="101" t="n">
        <f aca="false">AC12-AC24</f>
        <v>0</v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W60" activePane="bottomRight" state="frozen"/>
      <selection pane="topLeft" activeCell="A1" activeCellId="0" sqref="A1"/>
      <selection pane="topRight" activeCell="W1" activeCellId="0" sqref="W1"/>
      <selection pane="bottomLeft" activeCell="A60" activeCellId="0" sqref="A60"/>
      <selection pane="bottomRight" activeCell="AF55" activeCellId="0" sqref="AF55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29" min="5" style="1" width="11"/>
  </cols>
  <sheetData>
    <row r="1" customFormat="false" ht="15" hidden="false" customHeight="true" outlineLevel="0" collapsed="false">
      <c r="A1" s="7" t="s">
        <v>425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A2" s="102" t="s">
        <v>426</v>
      </c>
      <c r="B2" s="103" t="n">
        <f aca="false">1_Assumptions!$F$146</f>
        <v>0.1</v>
      </c>
      <c r="C2" s="102" t="s">
        <v>427</v>
      </c>
    </row>
    <row r="3" customFormat="false" ht="15" hidden="false" customHeight="true" outlineLevel="0" collapsed="false">
      <c r="A3" s="70" t="s">
        <v>428</v>
      </c>
      <c r="B3" s="10" t="n">
        <v>1.3</v>
      </c>
      <c r="C3" s="69" t="s">
        <v>429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5" customFormat="false" ht="15" hidden="false" customHeight="true" outlineLevel="0" collapsed="false">
      <c r="A5" s="13" t="s">
        <v>430</v>
      </c>
    </row>
    <row r="6" customFormat="false" ht="15" hidden="false" customHeight="true" outlineLevel="0" collapsed="false">
      <c r="A6" s="104" t="s">
        <v>431</v>
      </c>
      <c r="B6" s="22" t="s">
        <v>432</v>
      </c>
      <c r="C6" s="23" t="s">
        <v>433</v>
      </c>
      <c r="D6" s="104" t="s">
        <v>434</v>
      </c>
      <c r="E6" s="105" t="s">
        <v>263</v>
      </c>
      <c r="F6" s="105" t="s">
        <v>264</v>
      </c>
      <c r="G6" s="105" t="s">
        <v>265</v>
      </c>
      <c r="H6" s="105" t="s">
        <v>266</v>
      </c>
      <c r="I6" s="105" t="s">
        <v>267</v>
      </c>
      <c r="J6" s="105" t="s">
        <v>268</v>
      </c>
      <c r="K6" s="105" t="s">
        <v>269</v>
      </c>
      <c r="L6" s="105" t="s">
        <v>270</v>
      </c>
      <c r="M6" s="105" t="s">
        <v>271</v>
      </c>
      <c r="N6" s="105" t="s">
        <v>272</v>
      </c>
      <c r="O6" s="105" t="s">
        <v>273</v>
      </c>
      <c r="P6" s="105" t="s">
        <v>274</v>
      </c>
      <c r="Q6" s="105" t="s">
        <v>275</v>
      </c>
      <c r="R6" s="105" t="s">
        <v>272</v>
      </c>
      <c r="S6" s="105" t="s">
        <v>273</v>
      </c>
      <c r="T6" s="105" t="s">
        <v>274</v>
      </c>
      <c r="U6" s="105" t="s">
        <v>275</v>
      </c>
      <c r="V6" s="105" t="s">
        <v>272</v>
      </c>
      <c r="W6" s="105" t="s">
        <v>273</v>
      </c>
      <c r="X6" s="105" t="s">
        <v>274</v>
      </c>
      <c r="Y6" s="105" t="s">
        <v>275</v>
      </c>
      <c r="Z6" s="105" t="s">
        <v>272</v>
      </c>
      <c r="AA6" s="105" t="s">
        <v>273</v>
      </c>
      <c r="AB6" s="105" t="s">
        <v>274</v>
      </c>
      <c r="AC6" s="105" t="s">
        <v>275</v>
      </c>
    </row>
    <row r="7" customFormat="false" ht="15" hidden="false" customHeight="true" outlineLevel="0" collapsed="false">
      <c r="A7" s="16" t="s">
        <v>435</v>
      </c>
      <c r="B7" s="17" t="s">
        <v>436</v>
      </c>
      <c r="C7" s="18" t="n">
        <v>70000</v>
      </c>
      <c r="D7" s="17" t="n">
        <f aca="false">C7*$B$3</f>
        <v>91000</v>
      </c>
      <c r="E7" s="106" t="b">
        <f aca="false">TRUE()</f>
        <v>1</v>
      </c>
      <c r="F7" s="106" t="b">
        <f aca="false">TRUE()</f>
        <v>1</v>
      </c>
      <c r="G7" s="106" t="b">
        <f aca="false">TRUE()</f>
        <v>1</v>
      </c>
      <c r="H7" s="106" t="b">
        <f aca="false">TRUE()</f>
        <v>1</v>
      </c>
      <c r="I7" s="106" t="b">
        <f aca="false">TRUE()</f>
        <v>1</v>
      </c>
      <c r="J7" s="106" t="b">
        <f aca="false">TRUE()</f>
        <v>1</v>
      </c>
      <c r="K7" s="106" t="b">
        <f aca="false">TRUE()</f>
        <v>1</v>
      </c>
      <c r="L7" s="106" t="b">
        <f aca="false">TRUE()</f>
        <v>1</v>
      </c>
      <c r="M7" s="106" t="b">
        <f aca="false">TRUE()</f>
        <v>1</v>
      </c>
      <c r="N7" s="106" t="b">
        <f aca="false">TRUE()</f>
        <v>1</v>
      </c>
      <c r="O7" s="106" t="b">
        <f aca="false">TRUE()</f>
        <v>1</v>
      </c>
      <c r="P7" s="106" t="b">
        <f aca="false">TRUE()</f>
        <v>1</v>
      </c>
      <c r="Q7" s="106" t="b">
        <f aca="false">TRUE()</f>
        <v>1</v>
      </c>
      <c r="R7" s="106" t="b">
        <f aca="false">TRUE()</f>
        <v>1</v>
      </c>
      <c r="S7" s="106" t="b">
        <f aca="false">TRUE()</f>
        <v>1</v>
      </c>
      <c r="T7" s="106" t="b">
        <f aca="false">TRUE()</f>
        <v>1</v>
      </c>
      <c r="U7" s="106" t="b">
        <f aca="false">TRUE()</f>
        <v>1</v>
      </c>
      <c r="V7" s="106" t="b">
        <f aca="false">TRUE()</f>
        <v>1</v>
      </c>
      <c r="W7" s="106" t="b">
        <f aca="false">TRUE()</f>
        <v>1</v>
      </c>
      <c r="X7" s="106" t="b">
        <f aca="false">TRUE()</f>
        <v>1</v>
      </c>
      <c r="Y7" s="106" t="b">
        <f aca="false">TRUE()</f>
        <v>1</v>
      </c>
      <c r="Z7" s="106" t="b">
        <f aca="false">TRUE()</f>
        <v>1</v>
      </c>
      <c r="AA7" s="106" t="b">
        <f aca="false">TRUE()</f>
        <v>1</v>
      </c>
      <c r="AB7" s="106" t="b">
        <f aca="false">TRUE()</f>
        <v>1</v>
      </c>
      <c r="AC7" s="106" t="b">
        <f aca="false">TRUE()</f>
        <v>1</v>
      </c>
    </row>
    <row r="8" customFormat="false" ht="15" hidden="false" customHeight="true" outlineLevel="0" collapsed="false">
      <c r="A8" s="21" t="s">
        <v>435</v>
      </c>
      <c r="B8" s="22" t="s">
        <v>437</v>
      </c>
      <c r="C8" s="23" t="n">
        <v>70000</v>
      </c>
      <c r="D8" s="22" t="n">
        <f aca="false">C8*$B$3</f>
        <v>91000</v>
      </c>
      <c r="E8" s="107" t="b">
        <f aca="false">TRUE()</f>
        <v>1</v>
      </c>
      <c r="F8" s="107" t="b">
        <f aca="false">TRUE()</f>
        <v>1</v>
      </c>
      <c r="G8" s="107" t="b">
        <f aca="false">TRUE()</f>
        <v>1</v>
      </c>
      <c r="H8" s="107" t="b">
        <f aca="false">TRUE()</f>
        <v>1</v>
      </c>
      <c r="I8" s="107" t="b">
        <f aca="false">TRUE()</f>
        <v>1</v>
      </c>
      <c r="J8" s="107" t="b">
        <f aca="false">TRUE()</f>
        <v>1</v>
      </c>
      <c r="K8" s="107" t="b">
        <f aca="false">TRUE()</f>
        <v>1</v>
      </c>
      <c r="L8" s="107" t="b">
        <f aca="false">TRUE()</f>
        <v>1</v>
      </c>
      <c r="M8" s="107" t="b">
        <f aca="false">TRUE()</f>
        <v>1</v>
      </c>
      <c r="N8" s="107" t="b">
        <f aca="false">TRUE()</f>
        <v>1</v>
      </c>
      <c r="O8" s="107" t="b">
        <f aca="false">TRUE()</f>
        <v>1</v>
      </c>
      <c r="P8" s="107" t="b">
        <f aca="false">TRUE()</f>
        <v>1</v>
      </c>
      <c r="Q8" s="107" t="b">
        <f aca="false">TRUE()</f>
        <v>1</v>
      </c>
      <c r="R8" s="107" t="b">
        <f aca="false">TRUE()</f>
        <v>1</v>
      </c>
      <c r="S8" s="107" t="b">
        <f aca="false">TRUE()</f>
        <v>1</v>
      </c>
      <c r="T8" s="107" t="b">
        <f aca="false">TRUE()</f>
        <v>1</v>
      </c>
      <c r="U8" s="107" t="b">
        <f aca="false">TRUE()</f>
        <v>1</v>
      </c>
      <c r="V8" s="107" t="b">
        <f aca="false">TRUE()</f>
        <v>1</v>
      </c>
      <c r="W8" s="107" t="b">
        <f aca="false">TRUE()</f>
        <v>1</v>
      </c>
      <c r="X8" s="107" t="b">
        <f aca="false">TRUE()</f>
        <v>1</v>
      </c>
      <c r="Y8" s="107" t="b">
        <f aca="false">TRUE()</f>
        <v>1</v>
      </c>
      <c r="Z8" s="107" t="b">
        <f aca="false">TRUE()</f>
        <v>1</v>
      </c>
      <c r="AA8" s="107" t="b">
        <f aca="false">TRUE()</f>
        <v>1</v>
      </c>
      <c r="AB8" s="107" t="b">
        <f aca="false">TRUE()</f>
        <v>1</v>
      </c>
      <c r="AC8" s="107" t="b">
        <f aca="false">TRUE()</f>
        <v>1</v>
      </c>
    </row>
    <row r="9" customFormat="false" ht="15" hidden="false" customHeight="true" outlineLevel="0" collapsed="false">
      <c r="A9" s="16" t="s">
        <v>435</v>
      </c>
      <c r="B9" s="17" t="s">
        <v>438</v>
      </c>
      <c r="C9" s="18" t="n">
        <v>70000</v>
      </c>
      <c r="D9" s="17" t="n">
        <f aca="false">C9*$B$3</f>
        <v>91000</v>
      </c>
      <c r="E9" s="106" t="b">
        <f aca="false">TRUE()</f>
        <v>1</v>
      </c>
      <c r="F9" s="106" t="b">
        <f aca="false">TRUE()</f>
        <v>1</v>
      </c>
      <c r="G9" s="106" t="b">
        <f aca="false">TRUE()</f>
        <v>1</v>
      </c>
      <c r="H9" s="106" t="b">
        <f aca="false">TRUE()</f>
        <v>1</v>
      </c>
      <c r="I9" s="106" t="b">
        <f aca="false">TRUE()</f>
        <v>1</v>
      </c>
      <c r="J9" s="106" t="b">
        <f aca="false">TRUE()</f>
        <v>1</v>
      </c>
      <c r="K9" s="106" t="b">
        <f aca="false">TRUE()</f>
        <v>1</v>
      </c>
      <c r="L9" s="106" t="b">
        <f aca="false">TRUE()</f>
        <v>1</v>
      </c>
      <c r="M9" s="106" t="b">
        <f aca="false">TRUE()</f>
        <v>1</v>
      </c>
      <c r="N9" s="106" t="b">
        <f aca="false">TRUE()</f>
        <v>1</v>
      </c>
      <c r="O9" s="106" t="b">
        <f aca="false">TRUE()</f>
        <v>1</v>
      </c>
      <c r="P9" s="106" t="b">
        <f aca="false">TRUE()</f>
        <v>1</v>
      </c>
      <c r="Q9" s="106" t="b">
        <f aca="false">TRUE()</f>
        <v>1</v>
      </c>
      <c r="R9" s="106" t="b">
        <f aca="false">TRUE()</f>
        <v>1</v>
      </c>
      <c r="S9" s="106" t="b">
        <f aca="false">TRUE()</f>
        <v>1</v>
      </c>
      <c r="T9" s="106" t="b">
        <f aca="false">TRUE()</f>
        <v>1</v>
      </c>
      <c r="U9" s="106" t="b">
        <f aca="false">TRUE()</f>
        <v>1</v>
      </c>
      <c r="V9" s="106" t="b">
        <f aca="false">TRUE()</f>
        <v>1</v>
      </c>
      <c r="W9" s="106" t="b">
        <f aca="false">TRUE()</f>
        <v>1</v>
      </c>
      <c r="X9" s="106" t="b">
        <f aca="false">TRUE()</f>
        <v>1</v>
      </c>
      <c r="Y9" s="106" t="b">
        <f aca="false">TRUE()</f>
        <v>1</v>
      </c>
      <c r="Z9" s="106" t="b">
        <f aca="false">TRUE()</f>
        <v>1</v>
      </c>
      <c r="AA9" s="106" t="b">
        <f aca="false">TRUE()</f>
        <v>1</v>
      </c>
      <c r="AB9" s="106" t="b">
        <f aca="false">TRUE()</f>
        <v>1</v>
      </c>
      <c r="AC9" s="106" t="b">
        <f aca="false">TRUE()</f>
        <v>1</v>
      </c>
    </row>
    <row r="10" customFormat="false" ht="15" hidden="false" customHeight="true" outlineLevel="0" collapsed="false">
      <c r="A10" s="21" t="s">
        <v>439</v>
      </c>
      <c r="B10" s="22" t="s">
        <v>440</v>
      </c>
      <c r="C10" s="23" t="n">
        <v>80000</v>
      </c>
      <c r="D10" s="22" t="n">
        <f aca="false">C10*$B$3</f>
        <v>104000</v>
      </c>
      <c r="E10" s="107" t="b">
        <f aca="false">TRUE()</f>
        <v>1</v>
      </c>
      <c r="F10" s="107" t="b">
        <f aca="false">TRUE()</f>
        <v>1</v>
      </c>
      <c r="G10" s="107" t="b">
        <f aca="false">TRUE()</f>
        <v>1</v>
      </c>
      <c r="H10" s="107" t="b">
        <f aca="false">TRUE()</f>
        <v>1</v>
      </c>
      <c r="I10" s="107" t="b">
        <f aca="false">TRUE()</f>
        <v>1</v>
      </c>
      <c r="J10" s="107" t="b">
        <f aca="false">TRUE()</f>
        <v>1</v>
      </c>
      <c r="K10" s="107" t="b">
        <f aca="false">TRUE()</f>
        <v>1</v>
      </c>
      <c r="L10" s="107" t="b">
        <f aca="false">TRUE()</f>
        <v>1</v>
      </c>
      <c r="M10" s="107" t="b">
        <f aca="false">TRUE()</f>
        <v>1</v>
      </c>
      <c r="N10" s="107" t="b">
        <f aca="false">TRUE()</f>
        <v>1</v>
      </c>
      <c r="O10" s="107" t="b">
        <f aca="false">TRUE()</f>
        <v>1</v>
      </c>
      <c r="P10" s="107" t="b">
        <f aca="false">TRUE()</f>
        <v>1</v>
      </c>
      <c r="Q10" s="107" t="b">
        <f aca="false">TRUE()</f>
        <v>1</v>
      </c>
      <c r="R10" s="107" t="b">
        <f aca="false">TRUE()</f>
        <v>1</v>
      </c>
      <c r="S10" s="107" t="b">
        <f aca="false">TRUE()</f>
        <v>1</v>
      </c>
      <c r="T10" s="107" t="b">
        <f aca="false">TRUE()</f>
        <v>1</v>
      </c>
      <c r="U10" s="107" t="b">
        <f aca="false">TRUE()</f>
        <v>1</v>
      </c>
      <c r="V10" s="107" t="b">
        <f aca="false">TRUE()</f>
        <v>1</v>
      </c>
      <c r="W10" s="107" t="b">
        <f aca="false">TRUE()</f>
        <v>1</v>
      </c>
      <c r="X10" s="107" t="b">
        <f aca="false">TRUE()</f>
        <v>1</v>
      </c>
      <c r="Y10" s="107" t="b">
        <f aca="false">TRUE()</f>
        <v>1</v>
      </c>
      <c r="Z10" s="107" t="b">
        <f aca="false">TRUE()</f>
        <v>1</v>
      </c>
      <c r="AA10" s="107" t="b">
        <f aca="false">TRUE()</f>
        <v>1</v>
      </c>
      <c r="AB10" s="107" t="b">
        <f aca="false">TRUE()</f>
        <v>1</v>
      </c>
      <c r="AC10" s="107" t="b">
        <f aca="false">TRUE()</f>
        <v>1</v>
      </c>
    </row>
    <row r="11" customFormat="false" ht="15" hidden="false" customHeight="true" outlineLevel="0" collapsed="false">
      <c r="A11" s="16" t="s">
        <v>439</v>
      </c>
      <c r="B11" s="17" t="s">
        <v>440</v>
      </c>
      <c r="C11" s="18" t="n">
        <v>70000</v>
      </c>
      <c r="D11" s="17" t="n">
        <f aca="false">C11*$B$3</f>
        <v>91000</v>
      </c>
      <c r="E11" s="106" t="b">
        <f aca="false">FALSE()</f>
        <v>0</v>
      </c>
      <c r="F11" s="106" t="b">
        <f aca="false">FALSE()</f>
        <v>0</v>
      </c>
      <c r="G11" s="106" t="b">
        <f aca="false">FALSE()</f>
        <v>0</v>
      </c>
      <c r="H11" s="106" t="b">
        <f aca="false">FALSE()</f>
        <v>0</v>
      </c>
      <c r="I11" s="106" t="b">
        <f aca="false">FALSE()</f>
        <v>0</v>
      </c>
      <c r="J11" s="106" t="b">
        <f aca="false">FALSE()</f>
        <v>0</v>
      </c>
      <c r="K11" s="106" t="b">
        <f aca="false">FALSE()</f>
        <v>0</v>
      </c>
      <c r="L11" s="106" t="b">
        <f aca="false">FALSE()</f>
        <v>0</v>
      </c>
      <c r="M11" s="106" t="b">
        <f aca="false">FALSE()</f>
        <v>0</v>
      </c>
      <c r="N11" s="106" t="b">
        <f aca="false">TRUE()</f>
        <v>1</v>
      </c>
      <c r="O11" s="106" t="b">
        <f aca="false">TRUE()</f>
        <v>1</v>
      </c>
      <c r="P11" s="106" t="b">
        <f aca="false">TRUE()</f>
        <v>1</v>
      </c>
      <c r="Q11" s="106" t="b">
        <f aca="false">TRUE()</f>
        <v>1</v>
      </c>
      <c r="R11" s="106" t="b">
        <f aca="false">TRUE()</f>
        <v>1</v>
      </c>
      <c r="S11" s="106" t="b">
        <f aca="false">TRUE()</f>
        <v>1</v>
      </c>
      <c r="T11" s="106" t="b">
        <f aca="false">TRUE()</f>
        <v>1</v>
      </c>
      <c r="U11" s="106" t="b">
        <f aca="false">TRUE()</f>
        <v>1</v>
      </c>
      <c r="V11" s="106" t="b">
        <f aca="false">TRUE()</f>
        <v>1</v>
      </c>
      <c r="W11" s="106" t="b">
        <f aca="false">TRUE()</f>
        <v>1</v>
      </c>
      <c r="X11" s="106" t="b">
        <f aca="false">TRUE()</f>
        <v>1</v>
      </c>
      <c r="Y11" s="106" t="b">
        <f aca="false">TRUE()</f>
        <v>1</v>
      </c>
      <c r="Z11" s="106" t="b">
        <f aca="false">TRUE()</f>
        <v>1</v>
      </c>
      <c r="AA11" s="106" t="b">
        <f aca="false">TRUE()</f>
        <v>1</v>
      </c>
      <c r="AB11" s="106" t="b">
        <f aca="false">TRUE()</f>
        <v>1</v>
      </c>
      <c r="AC11" s="106" t="b">
        <f aca="false">TRUE()</f>
        <v>1</v>
      </c>
    </row>
    <row r="12" customFormat="false" ht="15" hidden="false" customHeight="true" outlineLevel="0" collapsed="false">
      <c r="A12" s="21" t="s">
        <v>439</v>
      </c>
      <c r="B12" s="22" t="s">
        <v>441</v>
      </c>
      <c r="C12" s="23" t="n">
        <v>70000</v>
      </c>
      <c r="D12" s="22" t="n">
        <f aca="false">C12*$B$3</f>
        <v>91000</v>
      </c>
      <c r="E12" s="107" t="b">
        <f aca="false">FALSE()</f>
        <v>0</v>
      </c>
      <c r="F12" s="107" t="b">
        <f aca="false">FALSE()</f>
        <v>0</v>
      </c>
      <c r="G12" s="107" t="b">
        <f aca="false">FALSE()</f>
        <v>0</v>
      </c>
      <c r="H12" s="107" t="b">
        <f aca="false">TRUE()</f>
        <v>1</v>
      </c>
      <c r="I12" s="107" t="b">
        <f aca="false">TRUE()</f>
        <v>1</v>
      </c>
      <c r="J12" s="107" t="b">
        <f aca="false">TRUE()</f>
        <v>1</v>
      </c>
      <c r="K12" s="107" t="b">
        <f aca="false">TRUE()</f>
        <v>1</v>
      </c>
      <c r="L12" s="107" t="b">
        <f aca="false">TRUE()</f>
        <v>1</v>
      </c>
      <c r="M12" s="107" t="b">
        <f aca="false">TRUE()</f>
        <v>1</v>
      </c>
      <c r="N12" s="107" t="b">
        <f aca="false">TRUE()</f>
        <v>1</v>
      </c>
      <c r="O12" s="107" t="b">
        <f aca="false">TRUE()</f>
        <v>1</v>
      </c>
      <c r="P12" s="107" t="b">
        <f aca="false">TRUE()</f>
        <v>1</v>
      </c>
      <c r="Q12" s="107" t="b">
        <f aca="false">TRUE()</f>
        <v>1</v>
      </c>
      <c r="R12" s="107" t="b">
        <f aca="false">TRUE()</f>
        <v>1</v>
      </c>
      <c r="S12" s="107" t="b">
        <f aca="false">TRUE()</f>
        <v>1</v>
      </c>
      <c r="T12" s="107" t="b">
        <f aca="false">TRUE()</f>
        <v>1</v>
      </c>
      <c r="U12" s="107" t="b">
        <f aca="false">TRUE()</f>
        <v>1</v>
      </c>
      <c r="V12" s="107" t="b">
        <f aca="false">TRUE()</f>
        <v>1</v>
      </c>
      <c r="W12" s="107" t="b">
        <f aca="false">TRUE()</f>
        <v>1</v>
      </c>
      <c r="X12" s="107" t="b">
        <f aca="false">TRUE()</f>
        <v>1</v>
      </c>
      <c r="Y12" s="107" t="b">
        <f aca="false">TRUE()</f>
        <v>1</v>
      </c>
      <c r="Z12" s="107" t="b">
        <f aca="false">TRUE()</f>
        <v>1</v>
      </c>
      <c r="AA12" s="107" t="b">
        <f aca="false">TRUE()</f>
        <v>1</v>
      </c>
      <c r="AB12" s="107" t="b">
        <f aca="false">TRUE()</f>
        <v>1</v>
      </c>
      <c r="AC12" s="107" t="b">
        <f aca="false">TRUE()</f>
        <v>1</v>
      </c>
    </row>
    <row r="13" customFormat="false" ht="15" hidden="false" customHeight="true" outlineLevel="0" collapsed="false">
      <c r="A13" s="16" t="s">
        <v>439</v>
      </c>
      <c r="B13" s="17" t="s">
        <v>441</v>
      </c>
      <c r="C13" s="18" t="n">
        <v>70000</v>
      </c>
      <c r="D13" s="17" t="n">
        <f aca="false">C13*$B$3</f>
        <v>91000</v>
      </c>
      <c r="E13" s="106" t="b">
        <f aca="false">FALSE()</f>
        <v>0</v>
      </c>
      <c r="F13" s="106" t="b">
        <f aca="false">FALSE()</f>
        <v>0</v>
      </c>
      <c r="G13" s="106" t="b">
        <f aca="false">FALSE()</f>
        <v>0</v>
      </c>
      <c r="H13" s="106" t="b">
        <f aca="false">FALSE()</f>
        <v>0</v>
      </c>
      <c r="I13" s="106" t="b">
        <f aca="false">FALSE()</f>
        <v>0</v>
      </c>
      <c r="J13" s="106" t="b">
        <f aca="false">FALSE()</f>
        <v>0</v>
      </c>
      <c r="K13" s="106" t="b">
        <f aca="false">FALSE()</f>
        <v>0</v>
      </c>
      <c r="L13" s="106" t="b">
        <f aca="false">FALSE()</f>
        <v>0</v>
      </c>
      <c r="M13" s="106" t="b">
        <f aca="false">FALSE()</f>
        <v>0</v>
      </c>
      <c r="N13" s="106" t="b">
        <f aca="false">FALSE()</f>
        <v>0</v>
      </c>
      <c r="O13" s="106" t="b">
        <f aca="false">FALSE()</f>
        <v>0</v>
      </c>
      <c r="P13" s="106" t="b">
        <f aca="false">FALSE()</f>
        <v>0</v>
      </c>
      <c r="Q13" s="106" t="b">
        <f aca="false">TRUE()</f>
        <v>1</v>
      </c>
      <c r="R13" s="106" t="b">
        <f aca="false">TRUE()</f>
        <v>1</v>
      </c>
      <c r="S13" s="106" t="b">
        <f aca="false">TRUE()</f>
        <v>1</v>
      </c>
      <c r="T13" s="106" t="b">
        <f aca="false">TRUE()</f>
        <v>1</v>
      </c>
      <c r="U13" s="106" t="b">
        <f aca="false">TRUE()</f>
        <v>1</v>
      </c>
      <c r="V13" s="106" t="b">
        <f aca="false">TRUE()</f>
        <v>1</v>
      </c>
      <c r="W13" s="106" t="b">
        <f aca="false">TRUE()</f>
        <v>1</v>
      </c>
      <c r="X13" s="106" t="b">
        <f aca="false">TRUE()</f>
        <v>1</v>
      </c>
      <c r="Y13" s="106" t="b">
        <f aca="false">TRUE()</f>
        <v>1</v>
      </c>
      <c r="Z13" s="106" t="b">
        <f aca="false">TRUE()</f>
        <v>1</v>
      </c>
      <c r="AA13" s="106" t="b">
        <f aca="false">TRUE()</f>
        <v>1</v>
      </c>
      <c r="AB13" s="106" t="b">
        <f aca="false">TRUE()</f>
        <v>1</v>
      </c>
      <c r="AC13" s="106" t="b">
        <f aca="false">TRUE()</f>
        <v>1</v>
      </c>
    </row>
    <row r="14" customFormat="false" ht="15" hidden="false" customHeight="true" outlineLevel="0" collapsed="false">
      <c r="A14" s="21" t="s">
        <v>439</v>
      </c>
      <c r="B14" s="22" t="s">
        <v>442</v>
      </c>
      <c r="C14" s="23" t="n">
        <v>60000</v>
      </c>
      <c r="D14" s="22" t="n">
        <f aca="false">C14*$B$3</f>
        <v>78000</v>
      </c>
      <c r="E14" s="107" t="b">
        <f aca="false">FALSE()</f>
        <v>0</v>
      </c>
      <c r="F14" s="107" t="b">
        <f aca="false">FALSE()</f>
        <v>0</v>
      </c>
      <c r="G14" s="107" t="b">
        <f aca="false">FALSE()</f>
        <v>0</v>
      </c>
      <c r="H14" s="107" t="b">
        <f aca="false">FALSE()</f>
        <v>0</v>
      </c>
      <c r="I14" s="107" t="b">
        <f aca="false">FALSE()</f>
        <v>0</v>
      </c>
      <c r="J14" s="107" t="b">
        <f aca="false">FALSE()</f>
        <v>0</v>
      </c>
      <c r="K14" s="107" t="b">
        <f aca="false">FALSE()</f>
        <v>0</v>
      </c>
      <c r="L14" s="107" t="b">
        <f aca="false">FALSE()</f>
        <v>0</v>
      </c>
      <c r="M14" s="107" t="b">
        <f aca="false">FALSE()</f>
        <v>0</v>
      </c>
      <c r="N14" s="107" t="b">
        <f aca="false">TRUE()</f>
        <v>1</v>
      </c>
      <c r="O14" s="107" t="b">
        <f aca="false">TRUE()</f>
        <v>1</v>
      </c>
      <c r="P14" s="107" t="b">
        <f aca="false">TRUE()</f>
        <v>1</v>
      </c>
      <c r="Q14" s="107" t="b">
        <f aca="false">TRUE()</f>
        <v>1</v>
      </c>
      <c r="R14" s="107" t="b">
        <f aca="false">TRUE()</f>
        <v>1</v>
      </c>
      <c r="S14" s="107" t="b">
        <f aca="false">TRUE()</f>
        <v>1</v>
      </c>
      <c r="T14" s="107" t="b">
        <f aca="false">TRUE()</f>
        <v>1</v>
      </c>
      <c r="U14" s="107" t="b">
        <f aca="false">TRUE()</f>
        <v>1</v>
      </c>
      <c r="V14" s="107" t="b">
        <f aca="false">TRUE()</f>
        <v>1</v>
      </c>
      <c r="W14" s="107" t="b">
        <f aca="false">TRUE()</f>
        <v>1</v>
      </c>
      <c r="X14" s="107" t="b">
        <f aca="false">TRUE()</f>
        <v>1</v>
      </c>
      <c r="Y14" s="107" t="b">
        <f aca="false">TRUE()</f>
        <v>1</v>
      </c>
      <c r="Z14" s="107" t="b">
        <f aca="false">TRUE()</f>
        <v>1</v>
      </c>
      <c r="AA14" s="107" t="b">
        <f aca="false">TRUE()</f>
        <v>1</v>
      </c>
      <c r="AB14" s="107" t="b">
        <f aca="false">TRUE()</f>
        <v>1</v>
      </c>
      <c r="AC14" s="107" t="b">
        <f aca="false">TRUE()</f>
        <v>1</v>
      </c>
    </row>
    <row r="15" customFormat="false" ht="15" hidden="false" customHeight="true" outlineLevel="0" collapsed="false">
      <c r="A15" s="16" t="s">
        <v>439</v>
      </c>
      <c r="B15" s="17" t="s">
        <v>442</v>
      </c>
      <c r="C15" s="18" t="n">
        <v>50000</v>
      </c>
      <c r="D15" s="17" t="n">
        <f aca="false">C15*$B$3</f>
        <v>65000</v>
      </c>
      <c r="E15" s="106" t="b">
        <f aca="false">FALSE()</f>
        <v>0</v>
      </c>
      <c r="F15" s="106" t="b">
        <f aca="false">FALSE()</f>
        <v>0</v>
      </c>
      <c r="G15" s="106" t="b">
        <f aca="false">FALSE()</f>
        <v>0</v>
      </c>
      <c r="H15" s="106" t="b">
        <f aca="false">TRUE()</f>
        <v>1</v>
      </c>
      <c r="I15" s="106" t="b">
        <f aca="false">TRUE()</f>
        <v>1</v>
      </c>
      <c r="J15" s="106" t="b">
        <f aca="false">TRUE()</f>
        <v>1</v>
      </c>
      <c r="K15" s="106" t="b">
        <f aca="false">TRUE()</f>
        <v>1</v>
      </c>
      <c r="L15" s="106" t="b">
        <f aca="false">TRUE()</f>
        <v>1</v>
      </c>
      <c r="M15" s="106" t="b">
        <f aca="false">TRUE()</f>
        <v>1</v>
      </c>
      <c r="N15" s="106" t="b">
        <f aca="false">TRUE()</f>
        <v>1</v>
      </c>
      <c r="O15" s="106" t="b">
        <f aca="false">TRUE()</f>
        <v>1</v>
      </c>
      <c r="P15" s="106" t="b">
        <f aca="false">TRUE()</f>
        <v>1</v>
      </c>
      <c r="Q15" s="106" t="b">
        <f aca="false">TRUE()</f>
        <v>1</v>
      </c>
      <c r="R15" s="106" t="b">
        <f aca="false">TRUE()</f>
        <v>1</v>
      </c>
      <c r="S15" s="106" t="b">
        <f aca="false">TRUE()</f>
        <v>1</v>
      </c>
      <c r="T15" s="106" t="b">
        <f aca="false">TRUE()</f>
        <v>1</v>
      </c>
      <c r="U15" s="106" t="b">
        <f aca="false">TRUE()</f>
        <v>1</v>
      </c>
      <c r="V15" s="106" t="b">
        <f aca="false">TRUE()</f>
        <v>1</v>
      </c>
      <c r="W15" s="106" t="b">
        <f aca="false">TRUE()</f>
        <v>1</v>
      </c>
      <c r="X15" s="106" t="b">
        <f aca="false">TRUE()</f>
        <v>1</v>
      </c>
      <c r="Y15" s="106" t="b">
        <f aca="false">TRUE()</f>
        <v>1</v>
      </c>
      <c r="Z15" s="106" t="b">
        <f aca="false">TRUE()</f>
        <v>1</v>
      </c>
      <c r="AA15" s="106" t="b">
        <f aca="false">TRUE()</f>
        <v>1</v>
      </c>
      <c r="AB15" s="106" t="b">
        <f aca="false">TRUE()</f>
        <v>1</v>
      </c>
      <c r="AC15" s="106" t="b">
        <f aca="false">TRUE()</f>
        <v>1</v>
      </c>
    </row>
    <row r="16" customFormat="false" ht="15" hidden="false" customHeight="true" outlineLevel="0" collapsed="false">
      <c r="A16" s="21" t="s">
        <v>439</v>
      </c>
      <c r="B16" s="22" t="s">
        <v>443</v>
      </c>
      <c r="C16" s="23" t="n">
        <v>100000</v>
      </c>
      <c r="D16" s="22" t="n">
        <f aca="false">C16*$B$3</f>
        <v>130000</v>
      </c>
      <c r="E16" s="107" t="b">
        <f aca="false">FALSE()</f>
        <v>0</v>
      </c>
      <c r="F16" s="107" t="b">
        <f aca="false">FALSE()</f>
        <v>0</v>
      </c>
      <c r="G16" s="107" t="b">
        <f aca="false">FALSE()</f>
        <v>0</v>
      </c>
      <c r="H16" s="107" t="b">
        <f aca="false">TRUE()</f>
        <v>1</v>
      </c>
      <c r="I16" s="107" t="b">
        <f aca="false">TRUE()</f>
        <v>1</v>
      </c>
      <c r="J16" s="107" t="b">
        <f aca="false">TRUE()</f>
        <v>1</v>
      </c>
      <c r="K16" s="107" t="b">
        <f aca="false">TRUE()</f>
        <v>1</v>
      </c>
      <c r="L16" s="107" t="b">
        <f aca="false">TRUE()</f>
        <v>1</v>
      </c>
      <c r="M16" s="107" t="b">
        <f aca="false">TRUE()</f>
        <v>1</v>
      </c>
      <c r="N16" s="107" t="b">
        <f aca="false">TRUE()</f>
        <v>1</v>
      </c>
      <c r="O16" s="107" t="b">
        <f aca="false">TRUE()</f>
        <v>1</v>
      </c>
      <c r="P16" s="107" t="b">
        <f aca="false">TRUE()</f>
        <v>1</v>
      </c>
      <c r="Q16" s="107" t="b">
        <f aca="false">TRUE()</f>
        <v>1</v>
      </c>
      <c r="R16" s="107" t="b">
        <f aca="false">TRUE()</f>
        <v>1</v>
      </c>
      <c r="S16" s="107" t="b">
        <f aca="false">TRUE()</f>
        <v>1</v>
      </c>
      <c r="T16" s="107" t="b">
        <f aca="false">TRUE()</f>
        <v>1</v>
      </c>
      <c r="U16" s="107" t="b">
        <f aca="false">TRUE()</f>
        <v>1</v>
      </c>
      <c r="V16" s="107" t="b">
        <f aca="false">TRUE()</f>
        <v>1</v>
      </c>
      <c r="W16" s="107" t="b">
        <f aca="false">TRUE()</f>
        <v>1</v>
      </c>
      <c r="X16" s="107" t="b">
        <f aca="false">TRUE()</f>
        <v>1</v>
      </c>
      <c r="Y16" s="107" t="b">
        <f aca="false">TRUE()</f>
        <v>1</v>
      </c>
      <c r="Z16" s="107" t="b">
        <f aca="false">TRUE()</f>
        <v>1</v>
      </c>
      <c r="AA16" s="107" t="b">
        <f aca="false">TRUE()</f>
        <v>1</v>
      </c>
      <c r="AB16" s="107" t="b">
        <f aca="false">TRUE()</f>
        <v>1</v>
      </c>
      <c r="AC16" s="107" t="b">
        <f aca="false">TRUE()</f>
        <v>1</v>
      </c>
    </row>
    <row r="17" customFormat="false" ht="15" hidden="false" customHeight="true" outlineLevel="0" collapsed="false">
      <c r="A17" s="16" t="s">
        <v>439</v>
      </c>
      <c r="B17" s="17" t="s">
        <v>443</v>
      </c>
      <c r="C17" s="18" t="n">
        <v>100000</v>
      </c>
      <c r="D17" s="17" t="n">
        <f aca="false">C17*$B$3</f>
        <v>130000</v>
      </c>
      <c r="E17" s="106" t="b">
        <f aca="false">FALSE()</f>
        <v>0</v>
      </c>
      <c r="F17" s="106" t="b">
        <f aca="false">FALSE()</f>
        <v>0</v>
      </c>
      <c r="G17" s="106" t="b">
        <f aca="false">FALSE()</f>
        <v>0</v>
      </c>
      <c r="H17" s="106" t="b">
        <f aca="false">FALSE()</f>
        <v>0</v>
      </c>
      <c r="I17" s="106" t="b">
        <f aca="false">FALSE()</f>
        <v>0</v>
      </c>
      <c r="J17" s="106" t="b">
        <f aca="false">FALSE()</f>
        <v>0</v>
      </c>
      <c r="K17" s="106" t="b">
        <f aca="false">FALSE()</f>
        <v>0</v>
      </c>
      <c r="L17" s="106" t="b">
        <f aca="false">FALSE()</f>
        <v>0</v>
      </c>
      <c r="M17" s="106" t="b">
        <f aca="false">FALSE()</f>
        <v>0</v>
      </c>
      <c r="N17" s="106" t="b">
        <f aca="false">TRUE()</f>
        <v>1</v>
      </c>
      <c r="O17" s="106" t="b">
        <f aca="false">TRUE()</f>
        <v>1</v>
      </c>
      <c r="P17" s="106" t="b">
        <f aca="false">TRUE()</f>
        <v>1</v>
      </c>
      <c r="Q17" s="106" t="b">
        <f aca="false">TRUE()</f>
        <v>1</v>
      </c>
      <c r="R17" s="106" t="b">
        <f aca="false">TRUE()</f>
        <v>1</v>
      </c>
      <c r="S17" s="106" t="b">
        <f aca="false">TRUE()</f>
        <v>1</v>
      </c>
      <c r="T17" s="106" t="b">
        <f aca="false">TRUE()</f>
        <v>1</v>
      </c>
      <c r="U17" s="106" t="b">
        <f aca="false">TRUE()</f>
        <v>1</v>
      </c>
      <c r="V17" s="106" t="b">
        <f aca="false">TRUE()</f>
        <v>1</v>
      </c>
      <c r="W17" s="106" t="b">
        <f aca="false">TRUE()</f>
        <v>1</v>
      </c>
      <c r="X17" s="106" t="b">
        <f aca="false">TRUE()</f>
        <v>1</v>
      </c>
      <c r="Y17" s="106" t="b">
        <f aca="false">TRUE()</f>
        <v>1</v>
      </c>
      <c r="Z17" s="106" t="b">
        <f aca="false">TRUE()</f>
        <v>1</v>
      </c>
      <c r="AA17" s="106" t="b">
        <f aca="false">TRUE()</f>
        <v>1</v>
      </c>
      <c r="AB17" s="106" t="b">
        <f aca="false">TRUE()</f>
        <v>1</v>
      </c>
      <c r="AC17" s="106" t="b">
        <f aca="false">TRUE()</f>
        <v>1</v>
      </c>
    </row>
    <row r="18" customFormat="false" ht="15" hidden="false" customHeight="true" outlineLevel="0" collapsed="false">
      <c r="A18" s="21" t="s">
        <v>439</v>
      </c>
      <c r="B18" s="22" t="s">
        <v>443</v>
      </c>
      <c r="C18" s="23" t="n">
        <v>100000</v>
      </c>
      <c r="D18" s="22" t="n">
        <f aca="false">C18*$B$3</f>
        <v>130000</v>
      </c>
      <c r="E18" s="107" t="b">
        <f aca="false">FALSE()</f>
        <v>0</v>
      </c>
      <c r="F18" s="107" t="b">
        <f aca="false">FALSE()</f>
        <v>0</v>
      </c>
      <c r="G18" s="107" t="b">
        <f aca="false">FALSE()</f>
        <v>0</v>
      </c>
      <c r="H18" s="107" t="b">
        <f aca="false">FALSE()</f>
        <v>0</v>
      </c>
      <c r="I18" s="107" t="b">
        <f aca="false">FALSE()</f>
        <v>0</v>
      </c>
      <c r="J18" s="107" t="b">
        <f aca="false">FALSE()</f>
        <v>0</v>
      </c>
      <c r="K18" s="107" t="b">
        <f aca="false">FALSE()</f>
        <v>0</v>
      </c>
      <c r="L18" s="107" t="b">
        <f aca="false">FALSE()</f>
        <v>0</v>
      </c>
      <c r="M18" s="107" t="b">
        <f aca="false">FALSE()</f>
        <v>0</v>
      </c>
      <c r="N18" s="107" t="b">
        <f aca="false">FALSE()</f>
        <v>0</v>
      </c>
      <c r="O18" s="107" t="b">
        <f aca="false">FALSE()</f>
        <v>0</v>
      </c>
      <c r="P18" s="107" t="b">
        <f aca="false">FALSE()</f>
        <v>0</v>
      </c>
      <c r="Q18" s="107" t="b">
        <f aca="false">TRUE()</f>
        <v>1</v>
      </c>
      <c r="R18" s="107" t="b">
        <f aca="false">TRUE()</f>
        <v>1</v>
      </c>
      <c r="S18" s="107" t="b">
        <f aca="false">TRUE()</f>
        <v>1</v>
      </c>
      <c r="T18" s="107" t="b">
        <f aca="false">TRUE()</f>
        <v>1</v>
      </c>
      <c r="U18" s="107" t="b">
        <f aca="false">TRUE()</f>
        <v>1</v>
      </c>
      <c r="V18" s="107" t="b">
        <f aca="false">TRUE()</f>
        <v>1</v>
      </c>
      <c r="W18" s="107" t="b">
        <f aca="false">TRUE()</f>
        <v>1</v>
      </c>
      <c r="X18" s="107" t="b">
        <f aca="false">TRUE()</f>
        <v>1</v>
      </c>
      <c r="Y18" s="107" t="b">
        <f aca="false">TRUE()</f>
        <v>1</v>
      </c>
      <c r="Z18" s="107" t="b">
        <f aca="false">TRUE()</f>
        <v>1</v>
      </c>
      <c r="AA18" s="107" t="b">
        <f aca="false">TRUE()</f>
        <v>1</v>
      </c>
      <c r="AB18" s="107" t="b">
        <f aca="false">TRUE()</f>
        <v>1</v>
      </c>
      <c r="AC18" s="107" t="b">
        <f aca="false">TRUE()</f>
        <v>1</v>
      </c>
    </row>
    <row r="19" customFormat="false" ht="15" hidden="false" customHeight="true" outlineLevel="0" collapsed="false">
      <c r="A19" s="16" t="s">
        <v>439</v>
      </c>
      <c r="B19" s="17" t="s">
        <v>444</v>
      </c>
      <c r="C19" s="18" t="n">
        <v>80000</v>
      </c>
      <c r="D19" s="17" t="n">
        <f aca="false">C19*$B$3</f>
        <v>104000</v>
      </c>
      <c r="E19" s="106" t="b">
        <f aca="false">FALSE()</f>
        <v>0</v>
      </c>
      <c r="F19" s="106" t="b">
        <f aca="false">FALSE()</f>
        <v>0</v>
      </c>
      <c r="G19" s="106" t="b">
        <f aca="false">FALSE()</f>
        <v>0</v>
      </c>
      <c r="H19" s="106" t="b">
        <f aca="false">FALSE()</f>
        <v>0</v>
      </c>
      <c r="I19" s="106" t="b">
        <f aca="false">FALSE()</f>
        <v>0</v>
      </c>
      <c r="J19" s="106" t="b">
        <f aca="false">FALSE()</f>
        <v>0</v>
      </c>
      <c r="K19" s="106" t="b">
        <f aca="false">FALSE()</f>
        <v>0</v>
      </c>
      <c r="L19" s="106" t="b">
        <f aca="false">FALSE()</f>
        <v>0</v>
      </c>
      <c r="M19" s="106" t="b">
        <f aca="false">FALSE()</f>
        <v>0</v>
      </c>
      <c r="N19" s="106" t="b">
        <f aca="false">TRUE()</f>
        <v>1</v>
      </c>
      <c r="O19" s="106" t="b">
        <f aca="false">TRUE()</f>
        <v>1</v>
      </c>
      <c r="P19" s="106" t="b">
        <f aca="false">TRUE()</f>
        <v>1</v>
      </c>
      <c r="Q19" s="106" t="b">
        <f aca="false">TRUE()</f>
        <v>1</v>
      </c>
      <c r="R19" s="106" t="b">
        <f aca="false">TRUE()</f>
        <v>1</v>
      </c>
      <c r="S19" s="106" t="b">
        <f aca="false">TRUE()</f>
        <v>1</v>
      </c>
      <c r="T19" s="106" t="b">
        <f aca="false">TRUE()</f>
        <v>1</v>
      </c>
      <c r="U19" s="106" t="b">
        <f aca="false">TRUE()</f>
        <v>1</v>
      </c>
      <c r="V19" s="106" t="b">
        <f aca="false">TRUE()</f>
        <v>1</v>
      </c>
      <c r="W19" s="106" t="b">
        <f aca="false">TRUE()</f>
        <v>1</v>
      </c>
      <c r="X19" s="106" t="b">
        <f aca="false">TRUE()</f>
        <v>1</v>
      </c>
      <c r="Y19" s="106" t="b">
        <f aca="false">TRUE()</f>
        <v>1</v>
      </c>
      <c r="Z19" s="106" t="b">
        <f aca="false">TRUE()</f>
        <v>1</v>
      </c>
      <c r="AA19" s="106" t="b">
        <f aca="false">TRUE()</f>
        <v>1</v>
      </c>
      <c r="AB19" s="106" t="b">
        <f aca="false">TRUE()</f>
        <v>1</v>
      </c>
      <c r="AC19" s="106" t="b">
        <f aca="false">TRUE()</f>
        <v>1</v>
      </c>
    </row>
    <row r="20" customFormat="false" ht="15" hidden="false" customHeight="true" outlineLevel="0" collapsed="false">
      <c r="A20" s="21" t="s">
        <v>439</v>
      </c>
      <c r="B20" s="22" t="s">
        <v>445</v>
      </c>
      <c r="C20" s="23" t="n">
        <v>60000</v>
      </c>
      <c r="D20" s="22" t="n">
        <f aca="false">C20*$B$3</f>
        <v>78000</v>
      </c>
      <c r="E20" s="107" t="b">
        <f aca="false">FALSE()</f>
        <v>0</v>
      </c>
      <c r="F20" s="107" t="b">
        <f aca="false">FALSE()</f>
        <v>0</v>
      </c>
      <c r="G20" s="107" t="b">
        <f aca="false">FALSE()</f>
        <v>0</v>
      </c>
      <c r="H20" s="107" t="b">
        <f aca="false">TRUE()</f>
        <v>1</v>
      </c>
      <c r="I20" s="107" t="b">
        <f aca="false">TRUE()</f>
        <v>1</v>
      </c>
      <c r="J20" s="107" t="b">
        <f aca="false">TRUE()</f>
        <v>1</v>
      </c>
      <c r="K20" s="107" t="b">
        <f aca="false">TRUE()</f>
        <v>1</v>
      </c>
      <c r="L20" s="107" t="b">
        <f aca="false">TRUE()</f>
        <v>1</v>
      </c>
      <c r="M20" s="107" t="b">
        <f aca="false">TRUE()</f>
        <v>1</v>
      </c>
      <c r="N20" s="107" t="b">
        <f aca="false">TRUE()</f>
        <v>1</v>
      </c>
      <c r="O20" s="107" t="b">
        <f aca="false">TRUE()</f>
        <v>1</v>
      </c>
      <c r="P20" s="107" t="b">
        <f aca="false">TRUE()</f>
        <v>1</v>
      </c>
      <c r="Q20" s="107" t="b">
        <f aca="false">TRUE()</f>
        <v>1</v>
      </c>
      <c r="R20" s="107" t="b">
        <f aca="false">TRUE()</f>
        <v>1</v>
      </c>
      <c r="S20" s="107" t="b">
        <f aca="false">TRUE()</f>
        <v>1</v>
      </c>
      <c r="T20" s="107" t="b">
        <f aca="false">TRUE()</f>
        <v>1</v>
      </c>
      <c r="U20" s="107" t="b">
        <f aca="false">TRUE()</f>
        <v>1</v>
      </c>
      <c r="V20" s="107" t="b">
        <f aca="false">TRUE()</f>
        <v>1</v>
      </c>
      <c r="W20" s="107" t="b">
        <f aca="false">TRUE()</f>
        <v>1</v>
      </c>
      <c r="X20" s="107" t="b">
        <f aca="false">TRUE()</f>
        <v>1</v>
      </c>
      <c r="Y20" s="107" t="b">
        <f aca="false">TRUE()</f>
        <v>1</v>
      </c>
      <c r="Z20" s="107" t="b">
        <f aca="false">TRUE()</f>
        <v>1</v>
      </c>
      <c r="AA20" s="107" t="b">
        <f aca="false">TRUE()</f>
        <v>1</v>
      </c>
      <c r="AB20" s="107" t="b">
        <f aca="false">TRUE()</f>
        <v>1</v>
      </c>
      <c r="AC20" s="107" t="b">
        <f aca="false">TRUE()</f>
        <v>1</v>
      </c>
    </row>
    <row r="21" customFormat="false" ht="15" hidden="false" customHeight="true" outlineLevel="0" collapsed="false">
      <c r="A21" s="16" t="s">
        <v>446</v>
      </c>
      <c r="B21" s="17" t="s">
        <v>447</v>
      </c>
      <c r="C21" s="18" t="n">
        <v>80000</v>
      </c>
      <c r="D21" s="17" t="n">
        <f aca="false">C21*$B$3</f>
        <v>104000</v>
      </c>
      <c r="E21" s="106" t="b">
        <f aca="false">FALSE()</f>
        <v>0</v>
      </c>
      <c r="F21" s="106" t="b">
        <f aca="false">FALSE()</f>
        <v>0</v>
      </c>
      <c r="G21" s="106" t="b">
        <f aca="false">FALSE()</f>
        <v>0</v>
      </c>
      <c r="H21" s="106" t="b">
        <f aca="false">TRUE()</f>
        <v>1</v>
      </c>
      <c r="I21" s="106" t="b">
        <f aca="false">TRUE()</f>
        <v>1</v>
      </c>
      <c r="J21" s="106" t="b">
        <f aca="false">TRUE()</f>
        <v>1</v>
      </c>
      <c r="K21" s="106" t="b">
        <f aca="false">TRUE()</f>
        <v>1</v>
      </c>
      <c r="L21" s="106" t="b">
        <f aca="false">TRUE()</f>
        <v>1</v>
      </c>
      <c r="M21" s="106" t="b">
        <f aca="false">TRUE()</f>
        <v>1</v>
      </c>
      <c r="N21" s="106" t="b">
        <f aca="false">TRUE()</f>
        <v>1</v>
      </c>
      <c r="O21" s="106" t="b">
        <f aca="false">TRUE()</f>
        <v>1</v>
      </c>
      <c r="P21" s="106" t="b">
        <f aca="false">TRUE()</f>
        <v>1</v>
      </c>
      <c r="Q21" s="106" t="b">
        <f aca="false">TRUE()</f>
        <v>1</v>
      </c>
      <c r="R21" s="106" t="b">
        <f aca="false">TRUE()</f>
        <v>1</v>
      </c>
      <c r="S21" s="106" t="b">
        <f aca="false">TRUE()</f>
        <v>1</v>
      </c>
      <c r="T21" s="106" t="b">
        <f aca="false">TRUE()</f>
        <v>1</v>
      </c>
      <c r="U21" s="106" t="b">
        <f aca="false">TRUE()</f>
        <v>1</v>
      </c>
      <c r="V21" s="106" t="b">
        <f aca="false">TRUE()</f>
        <v>1</v>
      </c>
      <c r="W21" s="106" t="b">
        <f aca="false">TRUE()</f>
        <v>1</v>
      </c>
      <c r="X21" s="106" t="b">
        <f aca="false">TRUE()</f>
        <v>1</v>
      </c>
      <c r="Y21" s="106" t="b">
        <f aca="false">TRUE()</f>
        <v>1</v>
      </c>
      <c r="Z21" s="106" t="b">
        <f aca="false">TRUE()</f>
        <v>1</v>
      </c>
      <c r="AA21" s="106" t="b">
        <f aca="false">TRUE()</f>
        <v>1</v>
      </c>
      <c r="AB21" s="106" t="b">
        <f aca="false">TRUE()</f>
        <v>1</v>
      </c>
      <c r="AC21" s="106" t="b">
        <f aca="false">TRUE()</f>
        <v>1</v>
      </c>
    </row>
    <row r="22" customFormat="false" ht="15" hidden="false" customHeight="true" outlineLevel="0" collapsed="false">
      <c r="A22" s="21" t="s">
        <v>446</v>
      </c>
      <c r="B22" s="22" t="s">
        <v>447</v>
      </c>
      <c r="C22" s="23" t="n">
        <v>80000</v>
      </c>
      <c r="D22" s="22" t="n">
        <f aca="false">C22*$B$3</f>
        <v>104000</v>
      </c>
      <c r="E22" s="107" t="b">
        <f aca="false">FALSE()</f>
        <v>0</v>
      </c>
      <c r="F22" s="107" t="b">
        <f aca="false">FALSE()</f>
        <v>0</v>
      </c>
      <c r="G22" s="107" t="b">
        <f aca="false">FALSE()</f>
        <v>0</v>
      </c>
      <c r="H22" s="107" t="b">
        <f aca="false">FALSE()</f>
        <v>0</v>
      </c>
      <c r="I22" s="107" t="b">
        <f aca="false">FALSE()</f>
        <v>0</v>
      </c>
      <c r="J22" s="107" t="b">
        <f aca="false">FALSE()</f>
        <v>0</v>
      </c>
      <c r="K22" s="107" t="b">
        <f aca="false">FALSE()</f>
        <v>0</v>
      </c>
      <c r="L22" s="107" t="b">
        <f aca="false">FALSE()</f>
        <v>0</v>
      </c>
      <c r="M22" s="107" t="b">
        <f aca="false">FALSE()</f>
        <v>0</v>
      </c>
      <c r="N22" s="107" t="b">
        <f aca="false">TRUE()</f>
        <v>1</v>
      </c>
      <c r="O22" s="107" t="b">
        <f aca="false">TRUE()</f>
        <v>1</v>
      </c>
      <c r="P22" s="107" t="b">
        <f aca="false">TRUE()</f>
        <v>1</v>
      </c>
      <c r="Q22" s="107" t="b">
        <f aca="false">TRUE()</f>
        <v>1</v>
      </c>
      <c r="R22" s="107" t="b">
        <f aca="false">TRUE()</f>
        <v>1</v>
      </c>
      <c r="S22" s="107" t="b">
        <f aca="false">TRUE()</f>
        <v>1</v>
      </c>
      <c r="T22" s="107" t="b">
        <f aca="false">TRUE()</f>
        <v>1</v>
      </c>
      <c r="U22" s="107" t="b">
        <f aca="false">TRUE()</f>
        <v>1</v>
      </c>
      <c r="V22" s="107" t="b">
        <f aca="false">TRUE()</f>
        <v>1</v>
      </c>
      <c r="W22" s="107" t="b">
        <f aca="false">TRUE()</f>
        <v>1</v>
      </c>
      <c r="X22" s="107" t="b">
        <f aca="false">TRUE()</f>
        <v>1</v>
      </c>
      <c r="Y22" s="107" t="b">
        <f aca="false">TRUE()</f>
        <v>1</v>
      </c>
      <c r="Z22" s="107" t="b">
        <f aca="false">TRUE()</f>
        <v>1</v>
      </c>
      <c r="AA22" s="107" t="b">
        <f aca="false">TRUE()</f>
        <v>1</v>
      </c>
      <c r="AB22" s="107" t="b">
        <f aca="false">TRUE()</f>
        <v>1</v>
      </c>
      <c r="AC22" s="107" t="b">
        <f aca="false">TRUE()</f>
        <v>1</v>
      </c>
    </row>
    <row r="23" customFormat="false" ht="15" hidden="false" customHeight="true" outlineLevel="0" collapsed="false">
      <c r="A23" s="16" t="s">
        <v>446</v>
      </c>
      <c r="B23" s="17" t="s">
        <v>447</v>
      </c>
      <c r="C23" s="18" t="n">
        <v>80000</v>
      </c>
      <c r="D23" s="17" t="n">
        <f aca="false">C23*$B$3</f>
        <v>104000</v>
      </c>
      <c r="E23" s="106" t="b">
        <f aca="false">FALSE()</f>
        <v>0</v>
      </c>
      <c r="F23" s="106" t="b">
        <f aca="false">FALSE()</f>
        <v>0</v>
      </c>
      <c r="G23" s="106" t="b">
        <f aca="false">FALSE()</f>
        <v>0</v>
      </c>
      <c r="H23" s="106" t="b">
        <f aca="false">FALSE()</f>
        <v>0</v>
      </c>
      <c r="I23" s="106" t="b">
        <f aca="false">FALSE()</f>
        <v>0</v>
      </c>
      <c r="J23" s="106" t="b">
        <f aca="false">FALSE()</f>
        <v>0</v>
      </c>
      <c r="K23" s="106" t="b">
        <f aca="false">FALSE()</f>
        <v>0</v>
      </c>
      <c r="L23" s="106" t="b">
        <f aca="false">FALSE()</f>
        <v>0</v>
      </c>
      <c r="M23" s="106" t="b">
        <f aca="false">FALSE()</f>
        <v>0</v>
      </c>
      <c r="N23" s="106" t="b">
        <f aca="false">FALSE()</f>
        <v>0</v>
      </c>
      <c r="O23" s="106" t="b">
        <f aca="false">FALSE()</f>
        <v>0</v>
      </c>
      <c r="P23" s="106" t="b">
        <f aca="false">TRUE()</f>
        <v>1</v>
      </c>
      <c r="Q23" s="106" t="b">
        <f aca="false">TRUE()</f>
        <v>1</v>
      </c>
      <c r="R23" s="106" t="b">
        <f aca="false">TRUE()</f>
        <v>1</v>
      </c>
      <c r="S23" s="106" t="b">
        <f aca="false">TRUE()</f>
        <v>1</v>
      </c>
      <c r="T23" s="106" t="b">
        <f aca="false">TRUE()</f>
        <v>1</v>
      </c>
      <c r="U23" s="106" t="b">
        <f aca="false">TRUE()</f>
        <v>1</v>
      </c>
      <c r="V23" s="106" t="b">
        <f aca="false">TRUE()</f>
        <v>1</v>
      </c>
      <c r="W23" s="106" t="b">
        <f aca="false">TRUE()</f>
        <v>1</v>
      </c>
      <c r="X23" s="106" t="b">
        <f aca="false">TRUE()</f>
        <v>1</v>
      </c>
      <c r="Y23" s="106" t="b">
        <f aca="false">TRUE()</f>
        <v>1</v>
      </c>
      <c r="Z23" s="106" t="b">
        <f aca="false">TRUE()</f>
        <v>1</v>
      </c>
      <c r="AA23" s="106" t="b">
        <f aca="false">TRUE()</f>
        <v>1</v>
      </c>
      <c r="AB23" s="106" t="b">
        <f aca="false">TRUE()</f>
        <v>1</v>
      </c>
      <c r="AC23" s="106" t="b">
        <f aca="false">TRUE()</f>
        <v>1</v>
      </c>
    </row>
    <row r="24" customFormat="false" ht="15" hidden="false" customHeight="true" outlineLevel="0" collapsed="false">
      <c r="A24" s="21" t="s">
        <v>446</v>
      </c>
      <c r="B24" s="22" t="s">
        <v>447</v>
      </c>
      <c r="C24" s="23" t="n">
        <v>80000</v>
      </c>
      <c r="D24" s="22" t="n">
        <f aca="false">C24*$B$3</f>
        <v>104000</v>
      </c>
      <c r="E24" s="107" t="b">
        <f aca="false">FALSE()</f>
        <v>0</v>
      </c>
      <c r="F24" s="107" t="b">
        <f aca="false">FALSE()</f>
        <v>0</v>
      </c>
      <c r="G24" s="107" t="b">
        <f aca="false">FALSE()</f>
        <v>0</v>
      </c>
      <c r="H24" s="107" t="b">
        <f aca="false">FALSE()</f>
        <v>0</v>
      </c>
      <c r="I24" s="107" t="b">
        <f aca="false">FALSE()</f>
        <v>0</v>
      </c>
      <c r="J24" s="107" t="b">
        <f aca="false">FALSE()</f>
        <v>0</v>
      </c>
      <c r="K24" s="107" t="b">
        <f aca="false">FALSE()</f>
        <v>0</v>
      </c>
      <c r="L24" s="107" t="b">
        <f aca="false">FALSE()</f>
        <v>0</v>
      </c>
      <c r="M24" s="107" t="b">
        <f aca="false">FALSE()</f>
        <v>0</v>
      </c>
      <c r="N24" s="107" t="b">
        <f aca="false">FALSE()</f>
        <v>0</v>
      </c>
      <c r="O24" s="107" t="b">
        <f aca="false">FALSE()</f>
        <v>0</v>
      </c>
      <c r="P24" s="107" t="b">
        <f aca="false">FALSE()</f>
        <v>0</v>
      </c>
      <c r="Q24" s="107" t="b">
        <f aca="false">TRUE()</f>
        <v>1</v>
      </c>
      <c r="R24" s="107" t="b">
        <f aca="false">TRUE()</f>
        <v>1</v>
      </c>
      <c r="S24" s="107" t="b">
        <f aca="false">TRUE()</f>
        <v>1</v>
      </c>
      <c r="T24" s="107" t="b">
        <f aca="false">TRUE()</f>
        <v>1</v>
      </c>
      <c r="U24" s="107" t="b">
        <f aca="false">TRUE()</f>
        <v>1</v>
      </c>
      <c r="V24" s="107" t="b">
        <f aca="false">TRUE()</f>
        <v>1</v>
      </c>
      <c r="W24" s="107" t="b">
        <f aca="false">TRUE()</f>
        <v>1</v>
      </c>
      <c r="X24" s="107" t="b">
        <f aca="false">TRUE()</f>
        <v>1</v>
      </c>
      <c r="Y24" s="107" t="b">
        <f aca="false">TRUE()</f>
        <v>1</v>
      </c>
      <c r="Z24" s="107" t="b">
        <f aca="false">TRUE()</f>
        <v>1</v>
      </c>
      <c r="AA24" s="107" t="b">
        <f aca="false">TRUE()</f>
        <v>1</v>
      </c>
      <c r="AB24" s="107" t="b">
        <f aca="false">TRUE()</f>
        <v>1</v>
      </c>
      <c r="AC24" s="107" t="b">
        <f aca="false">TRUE()</f>
        <v>1</v>
      </c>
    </row>
    <row r="25" customFormat="false" ht="15" hidden="false" customHeight="true" outlineLevel="0" collapsed="false">
      <c r="A25" s="16" t="s">
        <v>446</v>
      </c>
      <c r="B25" s="17" t="s">
        <v>447</v>
      </c>
      <c r="C25" s="18" t="n">
        <v>80000</v>
      </c>
      <c r="D25" s="17" t="n">
        <f aca="false">C25*$B$3</f>
        <v>104000</v>
      </c>
      <c r="E25" s="106" t="b">
        <f aca="false">FALSE()</f>
        <v>0</v>
      </c>
      <c r="F25" s="106" t="b">
        <f aca="false">FALSE()</f>
        <v>0</v>
      </c>
      <c r="G25" s="106" t="b">
        <f aca="false">FALSE()</f>
        <v>0</v>
      </c>
      <c r="H25" s="106" t="b">
        <f aca="false">FALSE()</f>
        <v>0</v>
      </c>
      <c r="I25" s="106" t="b">
        <f aca="false">FALSE()</f>
        <v>0</v>
      </c>
      <c r="J25" s="106" t="b">
        <f aca="false">FALSE()</f>
        <v>0</v>
      </c>
      <c r="K25" s="106" t="b">
        <f aca="false">FALSE()</f>
        <v>0</v>
      </c>
      <c r="L25" s="106" t="b">
        <f aca="false">FALSE()</f>
        <v>0</v>
      </c>
      <c r="M25" s="106" t="b">
        <f aca="false">FALSE()</f>
        <v>0</v>
      </c>
      <c r="N25" s="106" t="b">
        <f aca="false">FALSE()</f>
        <v>0</v>
      </c>
      <c r="O25" s="106" t="b">
        <f aca="false">FALSE()</f>
        <v>0</v>
      </c>
      <c r="P25" s="106" t="b">
        <f aca="false">FALSE()</f>
        <v>0</v>
      </c>
      <c r="Q25" s="106" t="b">
        <f aca="false">FALSE()</f>
        <v>0</v>
      </c>
      <c r="R25" s="106" t="b">
        <f aca="false">FALSE()</f>
        <v>0</v>
      </c>
      <c r="S25" s="106" t="b">
        <f aca="false">TRUE()</f>
        <v>1</v>
      </c>
      <c r="T25" s="106" t="b">
        <f aca="false">TRUE()</f>
        <v>1</v>
      </c>
      <c r="U25" s="106" t="b">
        <f aca="false">TRUE()</f>
        <v>1</v>
      </c>
      <c r="V25" s="106" t="b">
        <f aca="false">TRUE()</f>
        <v>1</v>
      </c>
      <c r="W25" s="106" t="b">
        <f aca="false">TRUE()</f>
        <v>1</v>
      </c>
      <c r="X25" s="106" t="b">
        <f aca="false">TRUE()</f>
        <v>1</v>
      </c>
      <c r="Y25" s="106" t="b">
        <f aca="false">TRUE()</f>
        <v>1</v>
      </c>
      <c r="Z25" s="106" t="b">
        <f aca="false">TRUE()</f>
        <v>1</v>
      </c>
      <c r="AA25" s="106" t="b">
        <f aca="false">TRUE()</f>
        <v>1</v>
      </c>
      <c r="AB25" s="106" t="b">
        <f aca="false">TRUE()</f>
        <v>1</v>
      </c>
      <c r="AC25" s="106" t="b">
        <f aca="false">TRUE()</f>
        <v>1</v>
      </c>
    </row>
    <row r="26" customFormat="false" ht="15" hidden="false" customHeight="true" outlineLevel="0" collapsed="false">
      <c r="A26" s="21" t="s">
        <v>446</v>
      </c>
      <c r="B26" s="22" t="s">
        <v>447</v>
      </c>
      <c r="C26" s="23" t="n">
        <v>80000</v>
      </c>
      <c r="D26" s="22" t="n">
        <f aca="false">C26*$B$3</f>
        <v>104000</v>
      </c>
      <c r="E26" s="107" t="b">
        <f aca="false">FALSE()</f>
        <v>0</v>
      </c>
      <c r="F26" s="107" t="b">
        <f aca="false">FALSE()</f>
        <v>0</v>
      </c>
      <c r="G26" s="107" t="b">
        <f aca="false">FALSE()</f>
        <v>0</v>
      </c>
      <c r="H26" s="107" t="b">
        <f aca="false">FALSE()</f>
        <v>0</v>
      </c>
      <c r="I26" s="107" t="b">
        <f aca="false">FALSE()</f>
        <v>0</v>
      </c>
      <c r="J26" s="107" t="b">
        <f aca="false">FALSE()</f>
        <v>0</v>
      </c>
      <c r="K26" s="107" t="b">
        <f aca="false">FALSE()</f>
        <v>0</v>
      </c>
      <c r="L26" s="107" t="b">
        <f aca="false">FALSE()</f>
        <v>0</v>
      </c>
      <c r="M26" s="107" t="b">
        <f aca="false">FALSE()</f>
        <v>0</v>
      </c>
      <c r="N26" s="107" t="b">
        <f aca="false">FALSE()</f>
        <v>0</v>
      </c>
      <c r="O26" s="107" t="b">
        <f aca="false">FALSE()</f>
        <v>0</v>
      </c>
      <c r="P26" s="107" t="b">
        <f aca="false">FALSE()</f>
        <v>0</v>
      </c>
      <c r="Q26" s="107" t="b">
        <f aca="false">FALSE()</f>
        <v>0</v>
      </c>
      <c r="R26" s="107" t="b">
        <f aca="false">FALSE()</f>
        <v>0</v>
      </c>
      <c r="S26" s="107" t="b">
        <f aca="false">FALSE()</f>
        <v>0</v>
      </c>
      <c r="T26" s="107" t="b">
        <f aca="false">TRUE()</f>
        <v>1</v>
      </c>
      <c r="U26" s="107" t="b">
        <f aca="false">TRUE()</f>
        <v>1</v>
      </c>
      <c r="V26" s="107" t="b">
        <f aca="false">TRUE()</f>
        <v>1</v>
      </c>
      <c r="W26" s="107" t="b">
        <f aca="false">TRUE()</f>
        <v>1</v>
      </c>
      <c r="X26" s="107" t="b">
        <f aca="false">TRUE()</f>
        <v>1</v>
      </c>
      <c r="Y26" s="107" t="b">
        <f aca="false">TRUE()</f>
        <v>1</v>
      </c>
      <c r="Z26" s="107" t="b">
        <f aca="false">TRUE()</f>
        <v>1</v>
      </c>
      <c r="AA26" s="107" t="b">
        <f aca="false">TRUE()</f>
        <v>1</v>
      </c>
      <c r="AB26" s="107" t="b">
        <f aca="false">TRUE()</f>
        <v>1</v>
      </c>
      <c r="AC26" s="107" t="b">
        <f aca="false">TRUE()</f>
        <v>1</v>
      </c>
    </row>
    <row r="27" customFormat="false" ht="15" hidden="false" customHeight="true" outlineLevel="0" collapsed="false">
      <c r="A27" s="16" t="s">
        <v>446</v>
      </c>
      <c r="B27" s="17" t="s">
        <v>447</v>
      </c>
      <c r="C27" s="18" t="n">
        <v>80000</v>
      </c>
      <c r="D27" s="17" t="n">
        <f aca="false">C27*$B$3</f>
        <v>104000</v>
      </c>
      <c r="E27" s="106" t="b">
        <f aca="false">FALSE()</f>
        <v>0</v>
      </c>
      <c r="F27" s="106" t="b">
        <f aca="false">FALSE()</f>
        <v>0</v>
      </c>
      <c r="G27" s="106" t="b">
        <f aca="false">FALSE()</f>
        <v>0</v>
      </c>
      <c r="H27" s="106" t="b">
        <f aca="false">FALSE()</f>
        <v>0</v>
      </c>
      <c r="I27" s="106" t="b">
        <f aca="false">FALSE()</f>
        <v>0</v>
      </c>
      <c r="J27" s="106" t="b">
        <f aca="false">FALSE()</f>
        <v>0</v>
      </c>
      <c r="K27" s="106" t="b">
        <f aca="false">FALSE()</f>
        <v>0</v>
      </c>
      <c r="L27" s="106" t="b">
        <f aca="false">FALSE()</f>
        <v>0</v>
      </c>
      <c r="M27" s="106" t="b">
        <f aca="false">FALSE()</f>
        <v>0</v>
      </c>
      <c r="N27" s="106" t="b">
        <f aca="false">FALSE()</f>
        <v>0</v>
      </c>
      <c r="O27" s="106" t="b">
        <f aca="false">FALSE()</f>
        <v>0</v>
      </c>
      <c r="P27" s="106" t="b">
        <f aca="false">FALSE()</f>
        <v>0</v>
      </c>
      <c r="Q27" s="106" t="b">
        <f aca="false">FALSE()</f>
        <v>0</v>
      </c>
      <c r="R27" s="106" t="b">
        <f aca="false">FALSE()</f>
        <v>0</v>
      </c>
      <c r="S27" s="106" t="b">
        <f aca="false">FALSE()</f>
        <v>0</v>
      </c>
      <c r="T27" s="106" t="b">
        <f aca="false">FALSE()</f>
        <v>0</v>
      </c>
      <c r="U27" s="106" t="b">
        <f aca="false">TRUE()</f>
        <v>1</v>
      </c>
      <c r="V27" s="106" t="b">
        <f aca="false">TRUE()</f>
        <v>1</v>
      </c>
      <c r="W27" s="106" t="b">
        <f aca="false">TRUE()</f>
        <v>1</v>
      </c>
      <c r="X27" s="106" t="b">
        <f aca="false">TRUE()</f>
        <v>1</v>
      </c>
      <c r="Y27" s="106" t="b">
        <f aca="false">TRUE()</f>
        <v>1</v>
      </c>
      <c r="Z27" s="106" t="b">
        <f aca="false">TRUE()</f>
        <v>1</v>
      </c>
      <c r="AA27" s="106" t="b">
        <f aca="false">TRUE()</f>
        <v>1</v>
      </c>
      <c r="AB27" s="106" t="b">
        <f aca="false">TRUE()</f>
        <v>1</v>
      </c>
      <c r="AC27" s="106" t="b">
        <f aca="false">TRUE()</f>
        <v>1</v>
      </c>
    </row>
    <row r="28" customFormat="false" ht="15" hidden="false" customHeight="true" outlineLevel="0" collapsed="false">
      <c r="A28" s="21" t="s">
        <v>446</v>
      </c>
      <c r="B28" s="22" t="s">
        <v>448</v>
      </c>
      <c r="C28" s="23" t="n">
        <v>55000</v>
      </c>
      <c r="D28" s="22" t="n">
        <f aca="false">C28*$B$3</f>
        <v>71500</v>
      </c>
      <c r="E28" s="107" t="b">
        <f aca="false">FALSE()</f>
        <v>0</v>
      </c>
      <c r="F28" s="107" t="b">
        <f aca="false">FALSE()</f>
        <v>0</v>
      </c>
      <c r="G28" s="107" t="b">
        <f aca="false">FALSE()</f>
        <v>0</v>
      </c>
      <c r="H28" s="107" t="b">
        <f aca="false">FALSE()</f>
        <v>0</v>
      </c>
      <c r="I28" s="107" t="b">
        <f aca="false">FALSE()</f>
        <v>0</v>
      </c>
      <c r="J28" s="107" t="b">
        <f aca="false">FALSE()</f>
        <v>0</v>
      </c>
      <c r="K28" s="107" t="b">
        <f aca="false">FALSE()</f>
        <v>0</v>
      </c>
      <c r="L28" s="107" t="b">
        <f aca="false">FALSE()</f>
        <v>0</v>
      </c>
      <c r="M28" s="107" t="b">
        <f aca="false">FALSE()</f>
        <v>0</v>
      </c>
      <c r="N28" s="107" t="b">
        <f aca="false">FALSE()</f>
        <v>0</v>
      </c>
      <c r="O28" s="107" t="b">
        <f aca="false">FALSE()</f>
        <v>0</v>
      </c>
      <c r="P28" s="107" t="b">
        <f aca="false">FALSE()</f>
        <v>0</v>
      </c>
      <c r="Q28" s="107" t="b">
        <f aca="false">TRUE()</f>
        <v>1</v>
      </c>
      <c r="R28" s="107" t="b">
        <f aca="false">TRUE()</f>
        <v>1</v>
      </c>
      <c r="S28" s="107" t="b">
        <f aca="false">TRUE()</f>
        <v>1</v>
      </c>
      <c r="T28" s="107" t="b">
        <f aca="false">TRUE()</f>
        <v>1</v>
      </c>
      <c r="U28" s="107" t="b">
        <f aca="false">TRUE()</f>
        <v>1</v>
      </c>
      <c r="V28" s="107" t="b">
        <f aca="false">TRUE()</f>
        <v>1</v>
      </c>
      <c r="W28" s="107" t="b">
        <f aca="false">TRUE()</f>
        <v>1</v>
      </c>
      <c r="X28" s="107" t="b">
        <f aca="false">TRUE()</f>
        <v>1</v>
      </c>
      <c r="Y28" s="107" t="b">
        <f aca="false">TRUE()</f>
        <v>1</v>
      </c>
      <c r="Z28" s="107" t="b">
        <f aca="false">TRUE()</f>
        <v>1</v>
      </c>
      <c r="AA28" s="107" t="b">
        <f aca="false">TRUE()</f>
        <v>1</v>
      </c>
      <c r="AB28" s="107" t="b">
        <f aca="false">TRUE()</f>
        <v>1</v>
      </c>
      <c r="AC28" s="107" t="b">
        <f aca="false">TRUE()</f>
        <v>1</v>
      </c>
    </row>
    <row r="29" customFormat="false" ht="15" hidden="false" customHeight="true" outlineLevel="0" collapsed="false">
      <c r="A29" s="16" t="s">
        <v>435</v>
      </c>
      <c r="B29" s="17" t="s">
        <v>449</v>
      </c>
      <c r="C29" s="18" t="n">
        <v>80000</v>
      </c>
      <c r="D29" s="17" t="n">
        <f aca="false">C29*$B$3</f>
        <v>104000</v>
      </c>
      <c r="E29" s="106" t="b">
        <f aca="false">FALSE()</f>
        <v>0</v>
      </c>
      <c r="F29" s="106" t="b">
        <f aca="false">FALSE()</f>
        <v>0</v>
      </c>
      <c r="G29" s="106" t="b">
        <f aca="false">FALSE()</f>
        <v>0</v>
      </c>
      <c r="H29" s="106" t="b">
        <f aca="false">FALSE()</f>
        <v>0</v>
      </c>
      <c r="I29" s="106" t="b">
        <f aca="false">FALSE()</f>
        <v>0</v>
      </c>
      <c r="J29" s="106" t="b">
        <f aca="false">FALSE()</f>
        <v>0</v>
      </c>
      <c r="K29" s="106" t="b">
        <f aca="false">FALSE()</f>
        <v>0</v>
      </c>
      <c r="L29" s="106" t="b">
        <f aca="false">FALSE()</f>
        <v>0</v>
      </c>
      <c r="M29" s="106" t="b">
        <f aca="false">FALSE()</f>
        <v>0</v>
      </c>
      <c r="N29" s="106" t="b">
        <f aca="false">FALSE()</f>
        <v>0</v>
      </c>
      <c r="O29" s="106" t="b">
        <f aca="false">FALSE()</f>
        <v>0</v>
      </c>
      <c r="P29" s="106" t="b">
        <f aca="false">FALSE()</f>
        <v>0</v>
      </c>
      <c r="Q29" s="106" t="b">
        <f aca="false">TRUE()</f>
        <v>1</v>
      </c>
      <c r="R29" s="106" t="b">
        <f aca="false">TRUE()</f>
        <v>1</v>
      </c>
      <c r="S29" s="106" t="b">
        <f aca="false">TRUE()</f>
        <v>1</v>
      </c>
      <c r="T29" s="106" t="b">
        <f aca="false">TRUE()</f>
        <v>1</v>
      </c>
      <c r="U29" s="106" t="b">
        <f aca="false">TRUE()</f>
        <v>1</v>
      </c>
      <c r="V29" s="106" t="b">
        <f aca="false">TRUE()</f>
        <v>1</v>
      </c>
      <c r="W29" s="106" t="b">
        <f aca="false">TRUE()</f>
        <v>1</v>
      </c>
      <c r="X29" s="106" t="b">
        <f aca="false">TRUE()</f>
        <v>1</v>
      </c>
      <c r="Y29" s="106" t="b">
        <f aca="false">TRUE()</f>
        <v>1</v>
      </c>
      <c r="Z29" s="106" t="b">
        <f aca="false">TRUE()</f>
        <v>1</v>
      </c>
      <c r="AA29" s="106" t="b">
        <f aca="false">TRUE()</f>
        <v>1</v>
      </c>
      <c r="AB29" s="106" t="b">
        <f aca="false">TRUE()</f>
        <v>1</v>
      </c>
      <c r="AC29" s="106" t="b">
        <f aca="false">TRUE()</f>
        <v>1</v>
      </c>
    </row>
    <row r="31" customFormat="false" ht="15" hidden="false" customHeight="true" outlineLevel="0" collapsed="false">
      <c r="A31" s="28" t="s">
        <v>450</v>
      </c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customFormat="false" ht="15" hidden="false" customHeight="true" outlineLevel="0" collapsed="false">
      <c r="A32" s="104" t="s">
        <v>431</v>
      </c>
      <c r="B32" s="22" t="s">
        <v>432</v>
      </c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customFormat="false" ht="15" hidden="false" customHeight="true" outlineLevel="0" collapsed="false">
      <c r="A33" s="108" t="str">
        <f aca="false">A7</f>
        <v>G&amp;A</v>
      </c>
      <c r="B33" s="17" t="str">
        <f aca="false">B7</f>
        <v>Founder - CPO</v>
      </c>
      <c r="C33" s="18"/>
      <c r="D33" s="16"/>
      <c r="E33" s="109" t="n">
        <f aca="false">($D$7/12)*1*E7*(1+$B$2)^0</f>
        <v>7583.33333333333</v>
      </c>
      <c r="F33" s="109" t="n">
        <f aca="false">($D$7/12)*1*F7*(1+$B$2)^0</f>
        <v>7583.33333333333</v>
      </c>
      <c r="G33" s="110" t="n">
        <f aca="false">($D$7/12)*1*G7*(1+$B$2)^0</f>
        <v>7583.33333333333</v>
      </c>
      <c r="H33" s="109" t="n">
        <f aca="false">($D$7/12)*1*H7*(1+$B$2)^0</f>
        <v>7583.33333333333</v>
      </c>
      <c r="I33" s="109" t="n">
        <f aca="false">($D$7/12)*1*I7*(1+$B$2)^0</f>
        <v>7583.33333333333</v>
      </c>
      <c r="J33" s="109" t="n">
        <f aca="false">($D$7/12)*1*J7*(1+$B$2)^0</f>
        <v>7583.33333333333</v>
      </c>
      <c r="K33" s="109" t="n">
        <f aca="false">($D$7/12)*1*K7*(1+$B$2)^0</f>
        <v>7583.33333333333</v>
      </c>
      <c r="L33" s="109" t="n">
        <f aca="false">($D$7/12)*1*L7*(1+$B$2)^0</f>
        <v>7583.33333333333</v>
      </c>
      <c r="M33" s="109" t="n">
        <f aca="false">($D$7/12)*1*M7*(1+$B$2)^0</f>
        <v>7583.33333333333</v>
      </c>
      <c r="N33" s="109" t="n">
        <f aca="false">($D$7/12)*3*N7*(1+$B$2)^0</f>
        <v>22750</v>
      </c>
      <c r="O33" s="109" t="n">
        <f aca="false">($D$7/12)*3*O7*(1+$B$2)^1</f>
        <v>25025</v>
      </c>
      <c r="P33" s="109" t="n">
        <f aca="false">($D$7/12)*3*P7*(1+$B$2)^1</f>
        <v>25025</v>
      </c>
      <c r="Q33" s="109" t="n">
        <f aca="false">($D$7/12)*3*Q7*(1+$B$2)^1</f>
        <v>25025</v>
      </c>
      <c r="R33" s="109" t="n">
        <f aca="false">($D$7/12)*3*R7*(1+$B$2)^1</f>
        <v>25025</v>
      </c>
      <c r="S33" s="109" t="n">
        <f aca="false">($D$7/12)*3*S7*(1+$B$2)^2</f>
        <v>27527.5</v>
      </c>
      <c r="T33" s="109" t="n">
        <f aca="false">($D$7/12)*3*T7*(1+$B$2)^2</f>
        <v>27527.5</v>
      </c>
      <c r="U33" s="109" t="n">
        <f aca="false">($D$7/12)*3*U7*(1+$B$2)^2</f>
        <v>27527.5</v>
      </c>
      <c r="V33" s="109" t="n">
        <f aca="false">($D$7/12)*3*V7*(1+$B$2)^2</f>
        <v>27527.5</v>
      </c>
      <c r="W33" s="109" t="n">
        <f aca="false">($D$7/12)*3*W7*(1+$B$2)^3</f>
        <v>30280.25</v>
      </c>
      <c r="X33" s="109" t="n">
        <f aca="false">($D$7/12)*3*X7*(1+$B$2)^3</f>
        <v>30280.25</v>
      </c>
      <c r="Y33" s="109" t="n">
        <f aca="false">($D$7/12)*3*Y7*(1+$B$2)^3</f>
        <v>30280.25</v>
      </c>
      <c r="Z33" s="109" t="n">
        <f aca="false">($D$7/12)*3*Z7*(1+$B$2)^3</f>
        <v>30280.25</v>
      </c>
      <c r="AA33" s="109" t="n">
        <f aca="false">($D$7/12)*3*AA7*(1+$B$2)^4</f>
        <v>33308.275</v>
      </c>
      <c r="AB33" s="109" t="n">
        <f aca="false">($D$7/12)*3*AB7*(1+$B$2)^4</f>
        <v>33308.275</v>
      </c>
      <c r="AC33" s="109" t="n">
        <f aca="false">($D$7/12)*3*AC7*(1+$B$2)^4</f>
        <v>33308.275</v>
      </c>
    </row>
    <row r="34" customFormat="false" ht="15" hidden="false" customHeight="true" outlineLevel="0" collapsed="false">
      <c r="A34" s="111" t="str">
        <f aca="false">A8</f>
        <v>G&amp;A</v>
      </c>
      <c r="B34" s="22" t="str">
        <f aca="false">B8</f>
        <v>Founder - CEO</v>
      </c>
      <c r="C34" s="23"/>
      <c r="D34" s="21"/>
      <c r="E34" s="112" t="n">
        <f aca="false">($D$8/12)*1*E8*(1+$B$2)^0</f>
        <v>7583.33333333333</v>
      </c>
      <c r="F34" s="112" t="n">
        <f aca="false">($D$8/12)*1*F8*(1+$B$2)^0</f>
        <v>7583.33333333333</v>
      </c>
      <c r="G34" s="113" t="n">
        <f aca="false">($D$8/12)*1*G8*(1+$B$2)^0</f>
        <v>7583.33333333333</v>
      </c>
      <c r="H34" s="112" t="n">
        <f aca="false">($D$8/12)*1*H8*(1+$B$2)^0</f>
        <v>7583.33333333333</v>
      </c>
      <c r="I34" s="112" t="n">
        <f aca="false">($D$8/12)*1*I8*(1+$B$2)^0</f>
        <v>7583.33333333333</v>
      </c>
      <c r="J34" s="112" t="n">
        <f aca="false">($D$8/12)*1*J8*(1+$B$2)^0</f>
        <v>7583.33333333333</v>
      </c>
      <c r="K34" s="112" t="n">
        <f aca="false">($D$8/12)*1*K8*(1+$B$2)^0</f>
        <v>7583.33333333333</v>
      </c>
      <c r="L34" s="112" t="n">
        <f aca="false">($D$8/12)*1*L8*(1+$B$2)^0</f>
        <v>7583.33333333333</v>
      </c>
      <c r="M34" s="112" t="n">
        <f aca="false">($D$8/12)*1*M8*(1+$B$2)^0</f>
        <v>7583.33333333333</v>
      </c>
      <c r="N34" s="112" t="n">
        <f aca="false">($D$8/12)*3*N8*(1+$B$2)^0</f>
        <v>22750</v>
      </c>
      <c r="O34" s="112" t="n">
        <f aca="false">($D$8/12)*3*O8*(1+$B$2)^1</f>
        <v>25025</v>
      </c>
      <c r="P34" s="112" t="n">
        <f aca="false">($D$8/12)*3*P8*(1+$B$2)^1</f>
        <v>25025</v>
      </c>
      <c r="Q34" s="112" t="n">
        <f aca="false">($D$8/12)*3*Q8*(1+$B$2)^1</f>
        <v>25025</v>
      </c>
      <c r="R34" s="112" t="n">
        <f aca="false">($D$8/12)*3*R8*(1+$B$2)^1</f>
        <v>25025</v>
      </c>
      <c r="S34" s="112" t="n">
        <f aca="false">($D$8/12)*3*S8*(1+$B$2)^2</f>
        <v>27527.5</v>
      </c>
      <c r="T34" s="112" t="n">
        <f aca="false">($D$8/12)*3*T8*(1+$B$2)^2</f>
        <v>27527.5</v>
      </c>
      <c r="U34" s="112" t="n">
        <f aca="false">($D$8/12)*3*U8*(1+$B$2)^2</f>
        <v>27527.5</v>
      </c>
      <c r="V34" s="112" t="n">
        <f aca="false">($D$8/12)*3*V8*(1+$B$2)^2</f>
        <v>27527.5</v>
      </c>
      <c r="W34" s="112" t="n">
        <f aca="false">($D$8/12)*3*W8*(1+$B$2)^3</f>
        <v>30280.25</v>
      </c>
      <c r="X34" s="112" t="n">
        <f aca="false">($D$8/12)*3*X8*(1+$B$2)^3</f>
        <v>30280.25</v>
      </c>
      <c r="Y34" s="112" t="n">
        <f aca="false">($D$8/12)*3*Y8*(1+$B$2)^3</f>
        <v>30280.25</v>
      </c>
      <c r="Z34" s="112" t="n">
        <f aca="false">($D$8/12)*3*Z8*(1+$B$2)^3</f>
        <v>30280.25</v>
      </c>
      <c r="AA34" s="112" t="n">
        <f aca="false">($D$8/12)*3*AA8*(1+$B$2)^4</f>
        <v>33308.275</v>
      </c>
      <c r="AB34" s="112" t="n">
        <f aca="false">($D$8/12)*3*AB8*(1+$B$2)^4</f>
        <v>33308.275</v>
      </c>
      <c r="AC34" s="112" t="n">
        <f aca="false">($D$8/12)*3*AC8*(1+$B$2)^4</f>
        <v>33308.275</v>
      </c>
    </row>
    <row r="35" customFormat="false" ht="15" hidden="false" customHeight="true" outlineLevel="0" collapsed="false">
      <c r="A35" s="108" t="str">
        <f aca="false">A9</f>
        <v>G&amp;A</v>
      </c>
      <c r="B35" s="17" t="str">
        <f aca="false">B9</f>
        <v>Founder - CTO</v>
      </c>
      <c r="C35" s="18"/>
      <c r="D35" s="16"/>
      <c r="E35" s="109" t="n">
        <f aca="false">($D$9/12)*1*E9*(1+$B$2)^0</f>
        <v>7583.33333333333</v>
      </c>
      <c r="F35" s="109" t="n">
        <f aca="false">($D$9/12)*1*F9*(1+$B$2)^0</f>
        <v>7583.33333333333</v>
      </c>
      <c r="G35" s="110" t="n">
        <f aca="false">($D$9/12)*1*G9*(1+$B$2)^0</f>
        <v>7583.33333333333</v>
      </c>
      <c r="H35" s="109" t="n">
        <f aca="false">($D$9/12)*1*H9*(1+$B$2)^0</f>
        <v>7583.33333333333</v>
      </c>
      <c r="I35" s="109" t="n">
        <f aca="false">($D$9/12)*1*I9*(1+$B$2)^0</f>
        <v>7583.33333333333</v>
      </c>
      <c r="J35" s="109" t="n">
        <f aca="false">($D$9/12)*1*J9*(1+$B$2)^0</f>
        <v>7583.33333333333</v>
      </c>
      <c r="K35" s="109" t="n">
        <f aca="false">($D$9/12)*1*K9*(1+$B$2)^0</f>
        <v>7583.33333333333</v>
      </c>
      <c r="L35" s="109" t="n">
        <f aca="false">($D$9/12)*1*L9*(1+$B$2)^0</f>
        <v>7583.33333333333</v>
      </c>
      <c r="M35" s="109" t="n">
        <f aca="false">($D$9/12)*1*M9*(1+$B$2)^0</f>
        <v>7583.33333333333</v>
      </c>
      <c r="N35" s="109" t="n">
        <f aca="false">($D$9/12)*3*N9*(1+$B$2)^0</f>
        <v>22750</v>
      </c>
      <c r="O35" s="109" t="n">
        <f aca="false">($D$9/12)*3*O9*(1+$B$2)^1</f>
        <v>25025</v>
      </c>
      <c r="P35" s="109" t="n">
        <f aca="false">($D$9/12)*3*P9*(1+$B$2)^1</f>
        <v>25025</v>
      </c>
      <c r="Q35" s="109" t="n">
        <f aca="false">($D$9/12)*3*Q9*(1+$B$2)^1</f>
        <v>25025</v>
      </c>
      <c r="R35" s="109" t="n">
        <f aca="false">($D$9/12)*3*R9*(1+$B$2)^1</f>
        <v>25025</v>
      </c>
      <c r="S35" s="109" t="n">
        <f aca="false">($D$9/12)*3*S9*(1+$B$2)^2</f>
        <v>27527.5</v>
      </c>
      <c r="T35" s="109" t="n">
        <f aca="false">($D$9/12)*3*T9*(1+$B$2)^2</f>
        <v>27527.5</v>
      </c>
      <c r="U35" s="109" t="n">
        <f aca="false">($D$9/12)*3*U9*(1+$B$2)^2</f>
        <v>27527.5</v>
      </c>
      <c r="V35" s="109" t="n">
        <f aca="false">($D$9/12)*3*V9*(1+$B$2)^2</f>
        <v>27527.5</v>
      </c>
      <c r="W35" s="109" t="n">
        <f aca="false">($D$9/12)*3*W9*(1+$B$2)^3</f>
        <v>30280.25</v>
      </c>
      <c r="X35" s="109" t="n">
        <f aca="false">($D$9/12)*3*X9*(1+$B$2)^3</f>
        <v>30280.25</v>
      </c>
      <c r="Y35" s="109" t="n">
        <f aca="false">($D$9/12)*3*Y9*(1+$B$2)^3</f>
        <v>30280.25</v>
      </c>
      <c r="Z35" s="109" t="n">
        <f aca="false">($D$9/12)*3*Z9*(1+$B$2)^3</f>
        <v>30280.25</v>
      </c>
      <c r="AA35" s="109" t="n">
        <f aca="false">($D$9/12)*3*AA9*(1+$B$2)^4</f>
        <v>33308.275</v>
      </c>
      <c r="AB35" s="109" t="n">
        <f aca="false">($D$9/12)*3*AB9*(1+$B$2)^4</f>
        <v>33308.275</v>
      </c>
      <c r="AC35" s="109" t="n">
        <f aca="false">($D$9/12)*3*AC9*(1+$B$2)^4</f>
        <v>33308.275</v>
      </c>
    </row>
    <row r="36" customFormat="false" ht="15" hidden="false" customHeight="true" outlineLevel="0" collapsed="false">
      <c r="A36" s="111" t="str">
        <f aca="false">A10</f>
        <v>P&amp;E</v>
      </c>
      <c r="B36" s="22" t="str">
        <f aca="false">B10</f>
        <v>Full Stack Engineer</v>
      </c>
      <c r="C36" s="23"/>
      <c r="D36" s="21"/>
      <c r="E36" s="112" t="n">
        <f aca="false">($D$10/12)*1*E10*(1+$B$2)^0</f>
        <v>8666.66666666667</v>
      </c>
      <c r="F36" s="112" t="n">
        <f aca="false">($D$10/12)*1*F10*(1+$B$2)^0</f>
        <v>8666.66666666667</v>
      </c>
      <c r="G36" s="113" t="n">
        <f aca="false">($D$10/12)*1*G10*(1+$B$2)^0</f>
        <v>8666.66666666667</v>
      </c>
      <c r="H36" s="112" t="n">
        <f aca="false">($D$10/12)*1*H10*(1+$B$2)^0</f>
        <v>8666.66666666667</v>
      </c>
      <c r="I36" s="112" t="n">
        <f aca="false">($D$10/12)*1*I10*(1+$B$2)^0</f>
        <v>8666.66666666667</v>
      </c>
      <c r="J36" s="112" t="n">
        <f aca="false">($D$10/12)*1*J10*(1+$B$2)^0</f>
        <v>8666.66666666667</v>
      </c>
      <c r="K36" s="112" t="n">
        <f aca="false">($D$10/12)*1*K10*(1+$B$2)^0</f>
        <v>8666.66666666667</v>
      </c>
      <c r="L36" s="112" t="n">
        <f aca="false">($D$10/12)*1*L10*(1+$B$2)^0</f>
        <v>8666.66666666667</v>
      </c>
      <c r="M36" s="112" t="n">
        <f aca="false">($D$10/12)*1*M10*(1+$B$2)^0</f>
        <v>8666.66666666667</v>
      </c>
      <c r="N36" s="112" t="n">
        <f aca="false">($D$10/12)*3*N10*(1+$B$2)^0</f>
        <v>26000</v>
      </c>
      <c r="O36" s="112" t="n">
        <f aca="false">($D$10/12)*3*O10*(1+$B$2)^1</f>
        <v>28600</v>
      </c>
      <c r="P36" s="112" t="n">
        <f aca="false">($D$10/12)*3*P10*(1+$B$2)^1</f>
        <v>28600</v>
      </c>
      <c r="Q36" s="112" t="n">
        <f aca="false">($D$10/12)*3*Q10*(1+$B$2)^1</f>
        <v>28600</v>
      </c>
      <c r="R36" s="112" t="n">
        <f aca="false">($D$10/12)*3*R10*(1+$B$2)^1</f>
        <v>28600</v>
      </c>
      <c r="S36" s="112" t="n">
        <f aca="false">($D$10/12)*3*S10*(1+$B$2)^2</f>
        <v>31460</v>
      </c>
      <c r="T36" s="112" t="n">
        <f aca="false">($D$10/12)*3*T10*(1+$B$2)^2</f>
        <v>31460</v>
      </c>
      <c r="U36" s="112" t="n">
        <f aca="false">($D$10/12)*3*U10*(1+$B$2)^2</f>
        <v>31460</v>
      </c>
      <c r="V36" s="112" t="n">
        <f aca="false">($D$10/12)*3*V10*(1+$B$2)^2</f>
        <v>31460</v>
      </c>
      <c r="W36" s="112" t="n">
        <f aca="false">($D$10/12)*3*W10*(1+$B$2)^3</f>
        <v>34606</v>
      </c>
      <c r="X36" s="112" t="n">
        <f aca="false">($D$10/12)*3*X10*(1+$B$2)^3</f>
        <v>34606</v>
      </c>
      <c r="Y36" s="112" t="n">
        <f aca="false">($D$10/12)*3*Y10*(1+$B$2)^3</f>
        <v>34606</v>
      </c>
      <c r="Z36" s="112" t="n">
        <f aca="false">($D$10/12)*3*Z10*(1+$B$2)^3</f>
        <v>34606</v>
      </c>
      <c r="AA36" s="112" t="n">
        <f aca="false">($D$10/12)*3*AA10*(1+$B$2)^4</f>
        <v>38066.6</v>
      </c>
      <c r="AB36" s="112" t="n">
        <f aca="false">($D$10/12)*3*AB10*(1+$B$2)^4</f>
        <v>38066.6</v>
      </c>
      <c r="AC36" s="112" t="n">
        <f aca="false">($D$10/12)*3*AC10*(1+$B$2)^4</f>
        <v>38066.6</v>
      </c>
    </row>
    <row r="37" customFormat="false" ht="15" hidden="false" customHeight="true" outlineLevel="0" collapsed="false">
      <c r="A37" s="108" t="str">
        <f aca="false">A11</f>
        <v>P&amp;E</v>
      </c>
      <c r="B37" s="17" t="str">
        <f aca="false">B11</f>
        <v>Full Stack Engineer</v>
      </c>
      <c r="C37" s="18"/>
      <c r="D37" s="16"/>
      <c r="E37" s="109" t="n">
        <f aca="false">($D$11/12)*1*E11*(1+$B$2)^0</f>
        <v>0</v>
      </c>
      <c r="F37" s="109" t="n">
        <f aca="false">($D$11/12)*1*F11*(1+$B$2)^0</f>
        <v>0</v>
      </c>
      <c r="G37" s="110" t="n">
        <f aca="false">($D$11/12)*1*G11*(1+$B$2)^0</f>
        <v>0</v>
      </c>
      <c r="H37" s="109" t="n">
        <f aca="false">($D$11/12)*1*H11*(1+$B$2)^0</f>
        <v>0</v>
      </c>
      <c r="I37" s="109" t="n">
        <f aca="false">($D$11/12)*1*I11*(1+$B$2)^0</f>
        <v>0</v>
      </c>
      <c r="J37" s="109" t="n">
        <f aca="false">($D$11/12)*1*J11*(1+$B$2)^0</f>
        <v>0</v>
      </c>
      <c r="K37" s="109" t="n">
        <f aca="false">($D$11/12)*1*K11*(1+$B$2)^0</f>
        <v>0</v>
      </c>
      <c r="L37" s="109" t="n">
        <f aca="false">($D$11/12)*1*L11*(1+$B$2)^0</f>
        <v>0</v>
      </c>
      <c r="M37" s="109" t="n">
        <f aca="false">($D$11/12)*1*M11*(1+$B$2)^0</f>
        <v>0</v>
      </c>
      <c r="N37" s="109" t="n">
        <f aca="false">($D$11/12)*3*N11*(1+$B$2)^0</f>
        <v>22750</v>
      </c>
      <c r="O37" s="109" t="n">
        <f aca="false">($D$11/12)*3*O11*(1+$B$2)^1</f>
        <v>25025</v>
      </c>
      <c r="P37" s="109" t="n">
        <f aca="false">($D$11/12)*3*P11*(1+$B$2)^1</f>
        <v>25025</v>
      </c>
      <c r="Q37" s="109" t="n">
        <f aca="false">($D$11/12)*3*Q11*(1+$B$2)^1</f>
        <v>25025</v>
      </c>
      <c r="R37" s="109" t="n">
        <f aca="false">($D$11/12)*3*R11*(1+$B$2)^1</f>
        <v>25025</v>
      </c>
      <c r="S37" s="109" t="n">
        <f aca="false">($D$11/12)*3*S11*(1+$B$2)^2</f>
        <v>27527.5</v>
      </c>
      <c r="T37" s="109" t="n">
        <f aca="false">($D$11/12)*3*T11*(1+$B$2)^2</f>
        <v>27527.5</v>
      </c>
      <c r="U37" s="109" t="n">
        <f aca="false">($D$11/12)*3*U11*(1+$B$2)^2</f>
        <v>27527.5</v>
      </c>
      <c r="V37" s="109" t="n">
        <f aca="false">($D$11/12)*3*V11*(1+$B$2)^2</f>
        <v>27527.5</v>
      </c>
      <c r="W37" s="109" t="n">
        <f aca="false">($D$11/12)*3*W11*(1+$B$2)^3</f>
        <v>30280.25</v>
      </c>
      <c r="X37" s="109" t="n">
        <f aca="false">($D$11/12)*3*X11*(1+$B$2)^3</f>
        <v>30280.25</v>
      </c>
      <c r="Y37" s="109" t="n">
        <f aca="false">($D$11/12)*3*Y11*(1+$B$2)^3</f>
        <v>30280.25</v>
      </c>
      <c r="Z37" s="109" t="n">
        <f aca="false">($D$11/12)*3*Z11*(1+$B$2)^3</f>
        <v>30280.25</v>
      </c>
      <c r="AA37" s="109" t="n">
        <f aca="false">($D$11/12)*3*AA11*(1+$B$2)^4</f>
        <v>33308.275</v>
      </c>
      <c r="AB37" s="109" t="n">
        <f aca="false">($D$11/12)*3*AB11*(1+$B$2)^4</f>
        <v>33308.275</v>
      </c>
      <c r="AC37" s="109" t="n">
        <f aca="false">($D$11/12)*3*AC11*(1+$B$2)^4</f>
        <v>33308.275</v>
      </c>
    </row>
    <row r="38" customFormat="false" ht="15" hidden="false" customHeight="true" outlineLevel="0" collapsed="false">
      <c r="A38" s="111" t="str">
        <f aca="false">A12</f>
        <v>P&amp;E</v>
      </c>
      <c r="B38" s="22" t="str">
        <f aca="false">B12</f>
        <v>Backend Engineer</v>
      </c>
      <c r="C38" s="23"/>
      <c r="D38" s="21"/>
      <c r="E38" s="112" t="n">
        <f aca="false">($D$12/12)*1*E12*(1+$B$2)^0</f>
        <v>0</v>
      </c>
      <c r="F38" s="112" t="n">
        <f aca="false">($D$12/12)*1*F12*(1+$B$2)^0</f>
        <v>0</v>
      </c>
      <c r="G38" s="113" t="n">
        <f aca="false">($D$12/12)*1*G12*(1+$B$2)^0</f>
        <v>0</v>
      </c>
      <c r="H38" s="112" t="n">
        <f aca="false">($D$12/12)*1*H12*(1+$B$2)^0</f>
        <v>7583.33333333333</v>
      </c>
      <c r="I38" s="112" t="n">
        <f aca="false">($D$12/12)*1*I12*(1+$B$2)^0</f>
        <v>7583.33333333333</v>
      </c>
      <c r="J38" s="112" t="n">
        <f aca="false">($D$12/12)*1*J12*(1+$B$2)^0</f>
        <v>7583.33333333333</v>
      </c>
      <c r="K38" s="112" t="n">
        <f aca="false">($D$12/12)*1*K12*(1+$B$2)^0</f>
        <v>7583.33333333333</v>
      </c>
      <c r="L38" s="112" t="n">
        <f aca="false">($D$12/12)*1*L12*(1+$B$2)^0</f>
        <v>7583.33333333333</v>
      </c>
      <c r="M38" s="112" t="n">
        <f aca="false">($D$12/12)*1*M12*(1+$B$2)^0</f>
        <v>7583.33333333333</v>
      </c>
      <c r="N38" s="112" t="n">
        <f aca="false">($D$12/12)*3*N12*(1+$B$2)^0</f>
        <v>22750</v>
      </c>
      <c r="O38" s="112" t="n">
        <f aca="false">($D$12/12)*3*O12*(1+$B$2)^1</f>
        <v>25025</v>
      </c>
      <c r="P38" s="112" t="n">
        <f aca="false">($D$12/12)*3*P12*(1+$B$2)^1</f>
        <v>25025</v>
      </c>
      <c r="Q38" s="112" t="n">
        <f aca="false">($D$12/12)*3*Q12*(1+$B$2)^1</f>
        <v>25025</v>
      </c>
      <c r="R38" s="112" t="n">
        <f aca="false">($D$12/12)*3*R12*(1+$B$2)^1</f>
        <v>25025</v>
      </c>
      <c r="S38" s="112" t="n">
        <f aca="false">($D$12/12)*3*S12*(1+$B$2)^2</f>
        <v>27527.5</v>
      </c>
      <c r="T38" s="112" t="n">
        <f aca="false">($D$12/12)*3*T12*(1+$B$2)^2</f>
        <v>27527.5</v>
      </c>
      <c r="U38" s="112" t="n">
        <f aca="false">($D$12/12)*3*U12*(1+$B$2)^2</f>
        <v>27527.5</v>
      </c>
      <c r="V38" s="112" t="n">
        <f aca="false">($D$12/12)*3*V12*(1+$B$2)^2</f>
        <v>27527.5</v>
      </c>
      <c r="W38" s="112" t="n">
        <f aca="false">($D$12/12)*3*W12*(1+$B$2)^3</f>
        <v>30280.25</v>
      </c>
      <c r="X38" s="112" t="n">
        <f aca="false">($D$12/12)*3*X12*(1+$B$2)^3</f>
        <v>30280.25</v>
      </c>
      <c r="Y38" s="112" t="n">
        <f aca="false">($D$12/12)*3*Y12*(1+$B$2)^3</f>
        <v>30280.25</v>
      </c>
      <c r="Z38" s="112" t="n">
        <f aca="false">($D$12/12)*3*Z12*(1+$B$2)^3</f>
        <v>30280.25</v>
      </c>
      <c r="AA38" s="112" t="n">
        <f aca="false">($D$12/12)*3*AA12*(1+$B$2)^4</f>
        <v>33308.275</v>
      </c>
      <c r="AB38" s="112" t="n">
        <f aca="false">($D$12/12)*3*AB12*(1+$B$2)^4</f>
        <v>33308.275</v>
      </c>
      <c r="AC38" s="112" t="n">
        <f aca="false">($D$12/12)*3*AC12*(1+$B$2)^4</f>
        <v>33308.275</v>
      </c>
    </row>
    <row r="39" customFormat="false" ht="15" hidden="false" customHeight="true" outlineLevel="0" collapsed="false">
      <c r="A39" s="108" t="str">
        <f aca="false">A13</f>
        <v>P&amp;E</v>
      </c>
      <c r="B39" s="17" t="str">
        <f aca="false">B13</f>
        <v>Backend Engineer</v>
      </c>
      <c r="C39" s="18"/>
      <c r="D39" s="16"/>
      <c r="E39" s="109" t="n">
        <f aca="false">($D$13/12)*1*E13*(1+$B$2)^0</f>
        <v>0</v>
      </c>
      <c r="F39" s="109" t="n">
        <f aca="false">($D$13/12)*1*F13*(1+$B$2)^0</f>
        <v>0</v>
      </c>
      <c r="G39" s="110" t="n">
        <f aca="false">($D$13/12)*1*G13*(1+$B$2)^0</f>
        <v>0</v>
      </c>
      <c r="H39" s="109" t="n">
        <f aca="false">($D$13/12)*1*H13*(1+$B$2)^0</f>
        <v>0</v>
      </c>
      <c r="I39" s="109" t="n">
        <f aca="false">($D$13/12)*1*I13*(1+$B$2)^0</f>
        <v>0</v>
      </c>
      <c r="J39" s="109" t="n">
        <f aca="false">($D$13/12)*1*J13*(1+$B$2)^0</f>
        <v>0</v>
      </c>
      <c r="K39" s="109" t="n">
        <f aca="false">($D$13/12)*1*K13*(1+$B$2)^0</f>
        <v>0</v>
      </c>
      <c r="L39" s="109" t="n">
        <f aca="false">($D$13/12)*1*L13*(1+$B$2)^0</f>
        <v>0</v>
      </c>
      <c r="M39" s="109" t="n">
        <f aca="false">($D$13/12)*1*M13*(1+$B$2)^0</f>
        <v>0</v>
      </c>
      <c r="N39" s="109" t="n">
        <f aca="false">($D$13/12)*3*N13*(1+$B$2)^0</f>
        <v>0</v>
      </c>
      <c r="O39" s="109" t="n">
        <f aca="false">($D$13/12)*3*O13*(1+$B$2)^1</f>
        <v>0</v>
      </c>
      <c r="P39" s="109" t="n">
        <f aca="false">($D$13/12)*3*P13*(1+$B$2)^1</f>
        <v>0</v>
      </c>
      <c r="Q39" s="109" t="n">
        <f aca="false">($D$13/12)*3*Q13*(1+$B$2)^1</f>
        <v>25025</v>
      </c>
      <c r="R39" s="109" t="n">
        <f aca="false">($D$13/12)*3*R13*(1+$B$2)^1</f>
        <v>25025</v>
      </c>
      <c r="S39" s="109" t="n">
        <f aca="false">($D$13/12)*3*S13*(1+$B$2)^2</f>
        <v>27527.5</v>
      </c>
      <c r="T39" s="109" t="n">
        <f aca="false">($D$13/12)*3*T13*(1+$B$2)^2</f>
        <v>27527.5</v>
      </c>
      <c r="U39" s="109" t="n">
        <f aca="false">($D$13/12)*3*U13*(1+$B$2)^2</f>
        <v>27527.5</v>
      </c>
      <c r="V39" s="109" t="n">
        <f aca="false">($D$13/12)*3*V13*(1+$B$2)^2</f>
        <v>27527.5</v>
      </c>
      <c r="W39" s="109" t="n">
        <f aca="false">($D$13/12)*3*W13*(1+$B$2)^3</f>
        <v>30280.25</v>
      </c>
      <c r="X39" s="109" t="n">
        <f aca="false">($D$13/12)*3*X13*(1+$B$2)^3</f>
        <v>30280.25</v>
      </c>
      <c r="Y39" s="109" t="n">
        <f aca="false">($D$13/12)*3*Y13*(1+$B$2)^3</f>
        <v>30280.25</v>
      </c>
      <c r="Z39" s="109" t="n">
        <f aca="false">($D$13/12)*3*Z13*(1+$B$2)^3</f>
        <v>30280.25</v>
      </c>
      <c r="AA39" s="109" t="n">
        <f aca="false">($D$13/12)*3*AA13*(1+$B$2)^4</f>
        <v>33308.275</v>
      </c>
      <c r="AB39" s="109" t="n">
        <f aca="false">($D$13/12)*3*AB13*(1+$B$2)^4</f>
        <v>33308.275</v>
      </c>
      <c r="AC39" s="109" t="n">
        <f aca="false">($D$13/12)*3*AC13*(1+$B$2)^4</f>
        <v>33308.275</v>
      </c>
    </row>
    <row r="40" customFormat="false" ht="15" hidden="false" customHeight="true" outlineLevel="0" collapsed="false">
      <c r="A40" s="111" t="str">
        <f aca="false">A14</f>
        <v>P&amp;E</v>
      </c>
      <c r="B40" s="22" t="str">
        <f aca="false">B14</f>
        <v>Frontend Engineer</v>
      </c>
      <c r="C40" s="23"/>
      <c r="D40" s="21"/>
      <c r="E40" s="112" t="n">
        <f aca="false">($D$14/12)*1*E14*(1+$B$2)^0</f>
        <v>0</v>
      </c>
      <c r="F40" s="112" t="n">
        <f aca="false">($D$14/12)*1*F14*(1+$B$2)^0</f>
        <v>0</v>
      </c>
      <c r="G40" s="113" t="n">
        <f aca="false">($D$14/12)*1*G14*(1+$B$2)^0</f>
        <v>0</v>
      </c>
      <c r="H40" s="112" t="n">
        <f aca="false">($D$14/12)*1*H14*(1+$B$2)^0</f>
        <v>0</v>
      </c>
      <c r="I40" s="112" t="n">
        <f aca="false">($D$14/12)*1*I14*(1+$B$2)^0</f>
        <v>0</v>
      </c>
      <c r="J40" s="112" t="n">
        <f aca="false">($D$14/12)*1*J14*(1+$B$2)^0</f>
        <v>0</v>
      </c>
      <c r="K40" s="112" t="n">
        <f aca="false">($D$14/12)*1*K14*(1+$B$2)^0</f>
        <v>0</v>
      </c>
      <c r="L40" s="112" t="n">
        <f aca="false">($D$14/12)*1*L14*(1+$B$2)^0</f>
        <v>0</v>
      </c>
      <c r="M40" s="112" t="n">
        <f aca="false">($D$14/12)*1*M14*(1+$B$2)^0</f>
        <v>0</v>
      </c>
      <c r="N40" s="112" t="n">
        <f aca="false">($D$14/12)*3*N14*(1+$B$2)^0</f>
        <v>19500</v>
      </c>
      <c r="O40" s="112" t="n">
        <f aca="false">($D$14/12)*3*O14*(1+$B$2)^1</f>
        <v>21450</v>
      </c>
      <c r="P40" s="112" t="n">
        <f aca="false">($D$14/12)*3*P14*(1+$B$2)^1</f>
        <v>21450</v>
      </c>
      <c r="Q40" s="112" t="n">
        <f aca="false">($D$14/12)*3*Q14*(1+$B$2)^1</f>
        <v>21450</v>
      </c>
      <c r="R40" s="112" t="n">
        <f aca="false">($D$14/12)*3*R14*(1+$B$2)^1</f>
        <v>21450</v>
      </c>
      <c r="S40" s="112" t="n">
        <f aca="false">($D$14/12)*3*S14*(1+$B$2)^2</f>
        <v>23595</v>
      </c>
      <c r="T40" s="112" t="n">
        <f aca="false">($D$14/12)*3*T14*(1+$B$2)^2</f>
        <v>23595</v>
      </c>
      <c r="U40" s="112" t="n">
        <f aca="false">($D$14/12)*3*U14*(1+$B$2)^2</f>
        <v>23595</v>
      </c>
      <c r="V40" s="112" t="n">
        <f aca="false">($D$14/12)*3*V14*(1+$B$2)^2</f>
        <v>23595</v>
      </c>
      <c r="W40" s="112" t="n">
        <f aca="false">($D$14/12)*3*W14*(1+$B$2)^3</f>
        <v>25954.5</v>
      </c>
      <c r="X40" s="112" t="n">
        <f aca="false">($D$14/12)*3*X14*(1+$B$2)^3</f>
        <v>25954.5</v>
      </c>
      <c r="Y40" s="112" t="n">
        <f aca="false">($D$14/12)*3*Y14*(1+$B$2)^3</f>
        <v>25954.5</v>
      </c>
      <c r="Z40" s="112" t="n">
        <f aca="false">($D$14/12)*3*Z14*(1+$B$2)^3</f>
        <v>25954.5</v>
      </c>
      <c r="AA40" s="112" t="n">
        <f aca="false">($D$14/12)*3*AA14*(1+$B$2)^4</f>
        <v>28549.95</v>
      </c>
      <c r="AB40" s="112" t="n">
        <f aca="false">($D$14/12)*3*AB14*(1+$B$2)^4</f>
        <v>28549.95</v>
      </c>
      <c r="AC40" s="112" t="n">
        <f aca="false">($D$14/12)*3*AC14*(1+$B$2)^4</f>
        <v>28549.95</v>
      </c>
    </row>
    <row r="41" customFormat="false" ht="15" hidden="false" customHeight="true" outlineLevel="0" collapsed="false">
      <c r="A41" s="108" t="str">
        <f aca="false">A15</f>
        <v>P&amp;E</v>
      </c>
      <c r="B41" s="17" t="str">
        <f aca="false">B15</f>
        <v>Frontend Engineer</v>
      </c>
      <c r="C41" s="18"/>
      <c r="D41" s="16"/>
      <c r="E41" s="109" t="n">
        <f aca="false">($D$15/12)*1*E15*(1+$B$2)^0</f>
        <v>0</v>
      </c>
      <c r="F41" s="109" t="n">
        <f aca="false">($D$15/12)*1*F15*(1+$B$2)^0</f>
        <v>0</v>
      </c>
      <c r="G41" s="110" t="n">
        <f aca="false">($D$15/12)*1*G15*(1+$B$2)^0</f>
        <v>0</v>
      </c>
      <c r="H41" s="109" t="n">
        <f aca="false">($D$15/12)*1*H15*(1+$B$2)^0</f>
        <v>5416.66666666667</v>
      </c>
      <c r="I41" s="109" t="n">
        <f aca="false">($D$15/12)*1*I15*(1+$B$2)^0</f>
        <v>5416.66666666667</v>
      </c>
      <c r="J41" s="109" t="n">
        <f aca="false">($D$15/12)*1*J15*(1+$B$2)^0</f>
        <v>5416.66666666667</v>
      </c>
      <c r="K41" s="109" t="n">
        <f aca="false">($D$15/12)*1*K15*(1+$B$2)^0</f>
        <v>5416.66666666667</v>
      </c>
      <c r="L41" s="109" t="n">
        <f aca="false">($D$15/12)*1*L15*(1+$B$2)^0</f>
        <v>5416.66666666667</v>
      </c>
      <c r="M41" s="109" t="n">
        <f aca="false">($D$15/12)*1*M15*(1+$B$2)^0</f>
        <v>5416.66666666667</v>
      </c>
      <c r="N41" s="109" t="n">
        <f aca="false">($D$15/12)*3*N15*(1+$B$2)^0</f>
        <v>16250</v>
      </c>
      <c r="O41" s="109" t="n">
        <f aca="false">($D$15/12)*3*O15*(1+$B$2)^1</f>
        <v>17875</v>
      </c>
      <c r="P41" s="109" t="n">
        <f aca="false">($D$15/12)*3*P15*(1+$B$2)^1</f>
        <v>17875</v>
      </c>
      <c r="Q41" s="109" t="n">
        <f aca="false">($D$15/12)*3*Q15*(1+$B$2)^1</f>
        <v>17875</v>
      </c>
      <c r="R41" s="109" t="n">
        <f aca="false">($D$15/12)*3*R15*(1+$B$2)^1</f>
        <v>17875</v>
      </c>
      <c r="S41" s="109" t="n">
        <f aca="false">($D$15/12)*3*S15*(1+$B$2)^2</f>
        <v>19662.5</v>
      </c>
      <c r="T41" s="109" t="n">
        <f aca="false">($D$15/12)*3*T15*(1+$B$2)^2</f>
        <v>19662.5</v>
      </c>
      <c r="U41" s="109" t="n">
        <f aca="false">($D$15/12)*3*U15*(1+$B$2)^2</f>
        <v>19662.5</v>
      </c>
      <c r="V41" s="109" t="n">
        <f aca="false">($D$15/12)*3*V15*(1+$B$2)^2</f>
        <v>19662.5</v>
      </c>
      <c r="W41" s="109" t="n">
        <f aca="false">($D$15/12)*3*W15*(1+$B$2)^3</f>
        <v>21628.75</v>
      </c>
      <c r="X41" s="109" t="n">
        <f aca="false">($D$15/12)*3*X15*(1+$B$2)^3</f>
        <v>21628.75</v>
      </c>
      <c r="Y41" s="109" t="n">
        <f aca="false">($D$15/12)*3*Y15*(1+$B$2)^3</f>
        <v>21628.75</v>
      </c>
      <c r="Z41" s="109" t="n">
        <f aca="false">($D$15/12)*3*Z15*(1+$B$2)^3</f>
        <v>21628.75</v>
      </c>
      <c r="AA41" s="109" t="n">
        <f aca="false">($D$15/12)*3*AA15*(1+$B$2)^4</f>
        <v>23791.625</v>
      </c>
      <c r="AB41" s="109" t="n">
        <f aca="false">($D$15/12)*3*AB15*(1+$B$2)^4</f>
        <v>23791.625</v>
      </c>
      <c r="AC41" s="109" t="n">
        <f aca="false">($D$15/12)*3*AC15*(1+$B$2)^4</f>
        <v>23791.625</v>
      </c>
    </row>
    <row r="42" customFormat="false" ht="15" hidden="false" customHeight="true" outlineLevel="0" collapsed="false">
      <c r="A42" s="111" t="str">
        <f aca="false">A16</f>
        <v>P&amp;E</v>
      </c>
      <c r="B42" s="22" t="str">
        <f aca="false">B16</f>
        <v>AI &amp; Deep Learning Researcher</v>
      </c>
      <c r="C42" s="23"/>
      <c r="D42" s="21"/>
      <c r="E42" s="112" t="n">
        <f aca="false">($D$16/12)*1*E16*(1+$B$2)^0</f>
        <v>0</v>
      </c>
      <c r="F42" s="112" t="n">
        <f aca="false">($D$16/12)*1*F16*(1+$B$2)^0</f>
        <v>0</v>
      </c>
      <c r="G42" s="113" t="n">
        <f aca="false">($D$16/12)*1*G16*(1+$B$2)^0</f>
        <v>0</v>
      </c>
      <c r="H42" s="112" t="n">
        <f aca="false">($D$16/12)*1*H16*(1+$B$2)^0</f>
        <v>10833.3333333333</v>
      </c>
      <c r="I42" s="112" t="n">
        <f aca="false">($D$16/12)*1*I16*(1+$B$2)^0</f>
        <v>10833.3333333333</v>
      </c>
      <c r="J42" s="112" t="n">
        <f aca="false">($D$16/12)*1*J16*(1+$B$2)^0</f>
        <v>10833.3333333333</v>
      </c>
      <c r="K42" s="112" t="n">
        <f aca="false">($D$16/12)*1*K16*(1+$B$2)^0</f>
        <v>10833.3333333333</v>
      </c>
      <c r="L42" s="112" t="n">
        <f aca="false">($D$16/12)*1*L16*(1+$B$2)^0</f>
        <v>10833.3333333333</v>
      </c>
      <c r="M42" s="112" t="n">
        <f aca="false">($D$16/12)*1*M16*(1+$B$2)^0</f>
        <v>10833.3333333333</v>
      </c>
      <c r="N42" s="112" t="n">
        <f aca="false">($D$16/12)*3*N16*(1+$B$2)^0</f>
        <v>32500</v>
      </c>
      <c r="O42" s="112" t="n">
        <f aca="false">($D$16/12)*3*O16*(1+$B$2)^1</f>
        <v>35750</v>
      </c>
      <c r="P42" s="112" t="n">
        <f aca="false">($D$16/12)*3*P16*(1+$B$2)^1</f>
        <v>35750</v>
      </c>
      <c r="Q42" s="112" t="n">
        <f aca="false">($D$16/12)*3*Q16*(1+$B$2)^1</f>
        <v>35750</v>
      </c>
      <c r="R42" s="112" t="n">
        <f aca="false">($D$16/12)*3*R16*(1+$B$2)^1</f>
        <v>35750</v>
      </c>
      <c r="S42" s="112" t="n">
        <f aca="false">($D$16/12)*3*S16*(1+$B$2)^2</f>
        <v>39325</v>
      </c>
      <c r="T42" s="112" t="n">
        <f aca="false">($D$16/12)*3*T16*(1+$B$2)^2</f>
        <v>39325</v>
      </c>
      <c r="U42" s="112" t="n">
        <f aca="false">($D$16/12)*3*U16*(1+$B$2)^2</f>
        <v>39325</v>
      </c>
      <c r="V42" s="112" t="n">
        <f aca="false">($D$16/12)*3*V16*(1+$B$2)^2</f>
        <v>39325</v>
      </c>
      <c r="W42" s="112" t="n">
        <f aca="false">($D$16/12)*3*W16*(1+$B$2)^3</f>
        <v>43257.5</v>
      </c>
      <c r="X42" s="112" t="n">
        <f aca="false">($D$16/12)*3*X16*(1+$B$2)^3</f>
        <v>43257.5</v>
      </c>
      <c r="Y42" s="112" t="n">
        <f aca="false">($D$16/12)*3*Y16*(1+$B$2)^3</f>
        <v>43257.5</v>
      </c>
      <c r="Z42" s="112" t="n">
        <f aca="false">($D$16/12)*3*Z16*(1+$B$2)^3</f>
        <v>43257.5</v>
      </c>
      <c r="AA42" s="112" t="n">
        <f aca="false">($D$16/12)*3*AA16*(1+$B$2)^4</f>
        <v>47583.25</v>
      </c>
      <c r="AB42" s="112" t="n">
        <f aca="false">($D$16/12)*3*AB16*(1+$B$2)^4</f>
        <v>47583.25</v>
      </c>
      <c r="AC42" s="112" t="n">
        <f aca="false">($D$16/12)*3*AC16*(1+$B$2)^4</f>
        <v>47583.25</v>
      </c>
    </row>
    <row r="43" customFormat="false" ht="15" hidden="false" customHeight="true" outlineLevel="0" collapsed="false">
      <c r="A43" s="108" t="str">
        <f aca="false">A17</f>
        <v>P&amp;E</v>
      </c>
      <c r="B43" s="17" t="str">
        <f aca="false">B17</f>
        <v>AI &amp; Deep Learning Researcher</v>
      </c>
      <c r="C43" s="18"/>
      <c r="D43" s="16"/>
      <c r="E43" s="109" t="n">
        <f aca="false">($D$17/12)*1*E17*(1+$B$2)^0</f>
        <v>0</v>
      </c>
      <c r="F43" s="109" t="n">
        <f aca="false">($D$17/12)*1*F17*(1+$B$2)^0</f>
        <v>0</v>
      </c>
      <c r="G43" s="110" t="n">
        <f aca="false">($D$17/12)*1*G17*(1+$B$2)^0</f>
        <v>0</v>
      </c>
      <c r="H43" s="109" t="n">
        <f aca="false">($D$17/12)*1*H17*(1+$B$2)^0</f>
        <v>0</v>
      </c>
      <c r="I43" s="109" t="n">
        <f aca="false">($D$17/12)*1*I17*(1+$B$2)^0</f>
        <v>0</v>
      </c>
      <c r="J43" s="109" t="n">
        <f aca="false">($D$17/12)*1*J17*(1+$B$2)^0</f>
        <v>0</v>
      </c>
      <c r="K43" s="109" t="n">
        <f aca="false">($D$17/12)*1*K17*(1+$B$2)^0</f>
        <v>0</v>
      </c>
      <c r="L43" s="109" t="n">
        <f aca="false">($D$17/12)*1*L17*(1+$B$2)^0</f>
        <v>0</v>
      </c>
      <c r="M43" s="109" t="n">
        <f aca="false">($D$17/12)*1*M17*(1+$B$2)^0</f>
        <v>0</v>
      </c>
      <c r="N43" s="109" t="n">
        <f aca="false">($D$17/12)*3*N17*(1+$B$2)^0</f>
        <v>32500</v>
      </c>
      <c r="O43" s="109" t="n">
        <f aca="false">($D$17/12)*3*O17*(1+$B$2)^1</f>
        <v>35750</v>
      </c>
      <c r="P43" s="109" t="n">
        <f aca="false">($D$17/12)*3*P17*(1+$B$2)^1</f>
        <v>35750</v>
      </c>
      <c r="Q43" s="109" t="n">
        <f aca="false">($D$17/12)*3*Q17*(1+$B$2)^1</f>
        <v>35750</v>
      </c>
      <c r="R43" s="109" t="n">
        <f aca="false">($D$17/12)*3*R17*(1+$B$2)^1</f>
        <v>35750</v>
      </c>
      <c r="S43" s="109" t="n">
        <f aca="false">($D$17/12)*3*S17*(1+$B$2)^2</f>
        <v>39325</v>
      </c>
      <c r="T43" s="109" t="n">
        <f aca="false">($D$17/12)*3*T17*(1+$B$2)^2</f>
        <v>39325</v>
      </c>
      <c r="U43" s="109" t="n">
        <f aca="false">($D$17/12)*3*U17*(1+$B$2)^2</f>
        <v>39325</v>
      </c>
      <c r="V43" s="109" t="n">
        <f aca="false">($D$17/12)*3*V17*(1+$B$2)^2</f>
        <v>39325</v>
      </c>
      <c r="W43" s="109" t="n">
        <f aca="false">($D$17/12)*3*W17*(1+$B$2)^3</f>
        <v>43257.5</v>
      </c>
      <c r="X43" s="109" t="n">
        <f aca="false">($D$17/12)*3*X17*(1+$B$2)^3</f>
        <v>43257.5</v>
      </c>
      <c r="Y43" s="109" t="n">
        <f aca="false">($D$17/12)*3*Y17*(1+$B$2)^3</f>
        <v>43257.5</v>
      </c>
      <c r="Z43" s="109" t="n">
        <f aca="false">($D$17/12)*3*Z17*(1+$B$2)^3</f>
        <v>43257.5</v>
      </c>
      <c r="AA43" s="109" t="n">
        <f aca="false">($D$17/12)*3*AA17*(1+$B$2)^4</f>
        <v>47583.25</v>
      </c>
      <c r="AB43" s="109" t="n">
        <f aca="false">($D$17/12)*3*AB17*(1+$B$2)^4</f>
        <v>47583.25</v>
      </c>
      <c r="AC43" s="109" t="n">
        <f aca="false">($D$17/12)*3*AC17*(1+$B$2)^4</f>
        <v>47583.25</v>
      </c>
    </row>
    <row r="44" customFormat="false" ht="15" hidden="false" customHeight="true" outlineLevel="0" collapsed="false">
      <c r="A44" s="111" t="str">
        <f aca="false">A18</f>
        <v>P&amp;E</v>
      </c>
      <c r="B44" s="22" t="str">
        <f aca="false">B18</f>
        <v>AI &amp; Deep Learning Researcher</v>
      </c>
      <c r="C44" s="23"/>
      <c r="D44" s="21"/>
      <c r="E44" s="112" t="n">
        <f aca="false">($D$18/12)*1*E18*(1+$B$2)^0</f>
        <v>0</v>
      </c>
      <c r="F44" s="112" t="n">
        <f aca="false">($D$18/12)*1*F18*(1+$B$2)^0</f>
        <v>0</v>
      </c>
      <c r="G44" s="113" t="n">
        <f aca="false">($D$18/12)*1*G18*(1+$B$2)^0</f>
        <v>0</v>
      </c>
      <c r="H44" s="112" t="n">
        <f aca="false">($D$18/12)*1*H18*(1+$B$2)^0</f>
        <v>0</v>
      </c>
      <c r="I44" s="112" t="n">
        <f aca="false">($D$18/12)*1*I18*(1+$B$2)^0</f>
        <v>0</v>
      </c>
      <c r="J44" s="112" t="n">
        <f aca="false">($D$18/12)*1*J18*(1+$B$2)^0</f>
        <v>0</v>
      </c>
      <c r="K44" s="112" t="n">
        <f aca="false">($D$18/12)*1*K18*(1+$B$2)^0</f>
        <v>0</v>
      </c>
      <c r="L44" s="112" t="n">
        <f aca="false">($D$18/12)*1*L18*(1+$B$2)^0</f>
        <v>0</v>
      </c>
      <c r="M44" s="112" t="n">
        <f aca="false">($D$18/12)*1*M18*(1+$B$2)^0</f>
        <v>0</v>
      </c>
      <c r="N44" s="112" t="n">
        <f aca="false">($D$18/12)*3*N18*(1+$B$2)^0</f>
        <v>0</v>
      </c>
      <c r="O44" s="112" t="n">
        <f aca="false">($D$18/12)*3*O18*(1+$B$2)^1</f>
        <v>0</v>
      </c>
      <c r="P44" s="112" t="n">
        <f aca="false">($D$18/12)*3*P18*(1+$B$2)^1</f>
        <v>0</v>
      </c>
      <c r="Q44" s="112" t="n">
        <f aca="false">($D$18/12)*3*Q18*(1+$B$2)^1</f>
        <v>35750</v>
      </c>
      <c r="R44" s="112" t="n">
        <f aca="false">($D$18/12)*3*R18*(1+$B$2)^1</f>
        <v>35750</v>
      </c>
      <c r="S44" s="112" t="n">
        <f aca="false">($D$18/12)*3*S18*(1+$B$2)^2</f>
        <v>39325</v>
      </c>
      <c r="T44" s="112" t="n">
        <f aca="false">($D$18/12)*3*T18*(1+$B$2)^2</f>
        <v>39325</v>
      </c>
      <c r="U44" s="112" t="n">
        <f aca="false">($D$18/12)*3*U18*(1+$B$2)^2</f>
        <v>39325</v>
      </c>
      <c r="V44" s="112" t="n">
        <f aca="false">($D$18/12)*3*V18*(1+$B$2)^2</f>
        <v>39325</v>
      </c>
      <c r="W44" s="112" t="n">
        <f aca="false">($D$18/12)*3*W18*(1+$B$2)^3</f>
        <v>43257.5</v>
      </c>
      <c r="X44" s="112" t="n">
        <f aca="false">($D$18/12)*3*X18*(1+$B$2)^3</f>
        <v>43257.5</v>
      </c>
      <c r="Y44" s="112" t="n">
        <f aca="false">($D$18/12)*3*Y18*(1+$B$2)^3</f>
        <v>43257.5</v>
      </c>
      <c r="Z44" s="112" t="n">
        <f aca="false">($D$18/12)*3*Z18*(1+$B$2)^3</f>
        <v>43257.5</v>
      </c>
      <c r="AA44" s="112" t="n">
        <f aca="false">($D$18/12)*3*AA18*(1+$B$2)^4</f>
        <v>47583.25</v>
      </c>
      <c r="AB44" s="112" t="n">
        <f aca="false">($D$18/12)*3*AB18*(1+$B$2)^4</f>
        <v>47583.25</v>
      </c>
      <c r="AC44" s="112" t="n">
        <f aca="false">($D$18/12)*3*AC18*(1+$B$2)^4</f>
        <v>47583.25</v>
      </c>
    </row>
    <row r="45" customFormat="false" ht="15" hidden="false" customHeight="true" outlineLevel="0" collapsed="false">
      <c r="A45" s="108" t="str">
        <f aca="false">A19</f>
        <v>P&amp;E</v>
      </c>
      <c r="B45" s="17" t="str">
        <f aca="false">B19</f>
        <v>Cloud Architect</v>
      </c>
      <c r="C45" s="18"/>
      <c r="D45" s="16"/>
      <c r="E45" s="109" t="n">
        <f aca="false">($D$19/12)*1*E19*(1+$B$2)^0</f>
        <v>0</v>
      </c>
      <c r="F45" s="109" t="n">
        <f aca="false">($D$19/12)*1*F19*(1+$B$2)^0</f>
        <v>0</v>
      </c>
      <c r="G45" s="110" t="n">
        <f aca="false">($D$19/12)*1*G19*(1+$B$2)^0</f>
        <v>0</v>
      </c>
      <c r="H45" s="109" t="n">
        <f aca="false">($D$19/12)*1*H19*(1+$B$2)^0</f>
        <v>0</v>
      </c>
      <c r="I45" s="109" t="n">
        <f aca="false">($D$19/12)*1*I19*(1+$B$2)^0</f>
        <v>0</v>
      </c>
      <c r="J45" s="109" t="n">
        <f aca="false">($D$19/12)*1*J19*(1+$B$2)^0</f>
        <v>0</v>
      </c>
      <c r="K45" s="109" t="n">
        <f aca="false">($D$19/12)*1*K19*(1+$B$2)^0</f>
        <v>0</v>
      </c>
      <c r="L45" s="109" t="n">
        <f aca="false">($D$19/12)*1*L19*(1+$B$2)^0</f>
        <v>0</v>
      </c>
      <c r="M45" s="109" t="n">
        <f aca="false">($D$19/12)*1*M19*(1+$B$2)^0</f>
        <v>0</v>
      </c>
      <c r="N45" s="109" t="n">
        <f aca="false">($D$19/12)*3*N19*(1+$B$2)^0</f>
        <v>26000</v>
      </c>
      <c r="O45" s="109" t="n">
        <f aca="false">($D$19/12)*3*O19*(1+$B$2)^1</f>
        <v>28600</v>
      </c>
      <c r="P45" s="109" t="n">
        <f aca="false">($D$19/12)*3*P19*(1+$B$2)^1</f>
        <v>28600</v>
      </c>
      <c r="Q45" s="109" t="n">
        <f aca="false">($D$19/12)*3*Q19*(1+$B$2)^1</f>
        <v>28600</v>
      </c>
      <c r="R45" s="109" t="n">
        <f aca="false">($D$19/12)*3*R19*(1+$B$2)^1</f>
        <v>28600</v>
      </c>
      <c r="S45" s="109" t="n">
        <f aca="false">($D$19/12)*3*S19*(1+$B$2)^2</f>
        <v>31460</v>
      </c>
      <c r="T45" s="109" t="n">
        <f aca="false">($D$19/12)*3*T19*(1+$B$2)^2</f>
        <v>31460</v>
      </c>
      <c r="U45" s="109" t="n">
        <f aca="false">($D$19/12)*3*U19*(1+$B$2)^2</f>
        <v>31460</v>
      </c>
      <c r="V45" s="109" t="n">
        <f aca="false">($D$19/12)*3*V19*(1+$B$2)^2</f>
        <v>31460</v>
      </c>
      <c r="W45" s="109" t="n">
        <f aca="false">($D$19/12)*3*W19*(1+$B$2)^3</f>
        <v>34606</v>
      </c>
      <c r="X45" s="109" t="n">
        <f aca="false">($D$19/12)*3*X19*(1+$B$2)^3</f>
        <v>34606</v>
      </c>
      <c r="Y45" s="109" t="n">
        <f aca="false">($D$19/12)*3*Y19*(1+$B$2)^3</f>
        <v>34606</v>
      </c>
      <c r="Z45" s="109" t="n">
        <f aca="false">($D$19/12)*3*Z19*(1+$B$2)^3</f>
        <v>34606</v>
      </c>
      <c r="AA45" s="109" t="n">
        <f aca="false">($D$19/12)*3*AA19*(1+$B$2)^4</f>
        <v>38066.6</v>
      </c>
      <c r="AB45" s="109" t="n">
        <f aca="false">($D$19/12)*3*AB19*(1+$B$2)^4</f>
        <v>38066.6</v>
      </c>
      <c r="AC45" s="109" t="n">
        <f aca="false">($D$19/12)*3*AC19*(1+$B$2)^4</f>
        <v>38066.6</v>
      </c>
    </row>
    <row r="46" customFormat="false" ht="15" hidden="false" customHeight="true" outlineLevel="0" collapsed="false">
      <c r="A46" s="111" t="str">
        <f aca="false">A20</f>
        <v>P&amp;E</v>
      </c>
      <c r="B46" s="22" t="str">
        <f aca="false">B20</f>
        <v>Product Designer</v>
      </c>
      <c r="C46" s="23"/>
      <c r="D46" s="21"/>
      <c r="E46" s="112" t="n">
        <f aca="false">($D$20/12)*1*E20*(1+$B$2)^0</f>
        <v>0</v>
      </c>
      <c r="F46" s="112" t="n">
        <f aca="false">($D$20/12)*1*F20*(1+$B$2)^0</f>
        <v>0</v>
      </c>
      <c r="G46" s="113" t="n">
        <f aca="false">($D$20/12)*1*G20*(1+$B$2)^0</f>
        <v>0</v>
      </c>
      <c r="H46" s="112" t="n">
        <f aca="false">($D$20/12)*1*H20*(1+$B$2)^0</f>
        <v>6500</v>
      </c>
      <c r="I46" s="112" t="n">
        <f aca="false">($D$20/12)*1*I20*(1+$B$2)^0</f>
        <v>6500</v>
      </c>
      <c r="J46" s="112" t="n">
        <f aca="false">($D$20/12)*1*J20*(1+$B$2)^0</f>
        <v>6500</v>
      </c>
      <c r="K46" s="112" t="n">
        <f aca="false">($D$20/12)*1*K20*(1+$B$2)^0</f>
        <v>6500</v>
      </c>
      <c r="L46" s="112" t="n">
        <f aca="false">($D$20/12)*1*L20*(1+$B$2)^0</f>
        <v>6500</v>
      </c>
      <c r="M46" s="112" t="n">
        <f aca="false">($D$20/12)*1*M20*(1+$B$2)^0</f>
        <v>6500</v>
      </c>
      <c r="N46" s="112" t="n">
        <f aca="false">($D$20/12)*3*N20*(1+$B$2)^0</f>
        <v>19500</v>
      </c>
      <c r="O46" s="112" t="n">
        <f aca="false">($D$20/12)*3*O20*(1+$B$2)^1</f>
        <v>21450</v>
      </c>
      <c r="P46" s="112" t="n">
        <f aca="false">($D$20/12)*3*P20*(1+$B$2)^1</f>
        <v>21450</v>
      </c>
      <c r="Q46" s="112" t="n">
        <f aca="false">($D$20/12)*3*Q20*(1+$B$2)^1</f>
        <v>21450</v>
      </c>
      <c r="R46" s="112" t="n">
        <f aca="false">($D$20/12)*3*R20*(1+$B$2)^1</f>
        <v>21450</v>
      </c>
      <c r="S46" s="112" t="n">
        <f aca="false">($D$20/12)*3*S20*(1+$B$2)^2</f>
        <v>23595</v>
      </c>
      <c r="T46" s="112" t="n">
        <f aca="false">($D$20/12)*3*T20*(1+$B$2)^2</f>
        <v>23595</v>
      </c>
      <c r="U46" s="112" t="n">
        <f aca="false">($D$20/12)*3*U20*(1+$B$2)^2</f>
        <v>23595</v>
      </c>
      <c r="V46" s="112" t="n">
        <f aca="false">($D$20/12)*3*V20*(1+$B$2)^2</f>
        <v>23595</v>
      </c>
      <c r="W46" s="112" t="n">
        <f aca="false">($D$20/12)*3*W20*(1+$B$2)^3</f>
        <v>25954.5</v>
      </c>
      <c r="X46" s="112" t="n">
        <f aca="false">($D$20/12)*3*X20*(1+$B$2)^3</f>
        <v>25954.5</v>
      </c>
      <c r="Y46" s="112" t="n">
        <f aca="false">($D$20/12)*3*Y20*(1+$B$2)^3</f>
        <v>25954.5</v>
      </c>
      <c r="Z46" s="112" t="n">
        <f aca="false">($D$20/12)*3*Z20*(1+$B$2)^3</f>
        <v>25954.5</v>
      </c>
      <c r="AA46" s="112" t="n">
        <f aca="false">($D$20/12)*3*AA20*(1+$B$2)^4</f>
        <v>28549.95</v>
      </c>
      <c r="AB46" s="112" t="n">
        <f aca="false">($D$20/12)*3*AB20*(1+$B$2)^4</f>
        <v>28549.95</v>
      </c>
      <c r="AC46" s="112" t="n">
        <f aca="false">($D$20/12)*3*AC20*(1+$B$2)^4</f>
        <v>28549.95</v>
      </c>
    </row>
    <row r="47" customFormat="false" ht="15" hidden="false" customHeight="true" outlineLevel="0" collapsed="false">
      <c r="A47" s="108" t="str">
        <f aca="false">A21</f>
        <v>S&amp;M</v>
      </c>
      <c r="B47" s="17" t="str">
        <f aca="false">B21</f>
        <v>Account Executive</v>
      </c>
      <c r="C47" s="18"/>
      <c r="D47" s="16"/>
      <c r="E47" s="109" t="n">
        <f aca="false">($D$21/12)*1*E21*(1+$B$2)^0</f>
        <v>0</v>
      </c>
      <c r="F47" s="109" t="n">
        <f aca="false">($D$21/12)*1*F21*(1+$B$2)^0</f>
        <v>0</v>
      </c>
      <c r="G47" s="110" t="n">
        <f aca="false">($D$21/12)*1*G21*(1+$B$2)^0</f>
        <v>0</v>
      </c>
      <c r="H47" s="109" t="n">
        <f aca="false">($D$21/12)*1*H21*(1+$B$2)^0</f>
        <v>8666.66666666667</v>
      </c>
      <c r="I47" s="109" t="n">
        <f aca="false">($D$21/12)*1*I21*(1+$B$2)^0</f>
        <v>8666.66666666667</v>
      </c>
      <c r="J47" s="109" t="n">
        <f aca="false">($D$21/12)*1*J21*(1+$B$2)^0</f>
        <v>8666.66666666667</v>
      </c>
      <c r="K47" s="109" t="n">
        <f aca="false">($D$21/12)*1*K21*(1+$B$2)^0</f>
        <v>8666.66666666667</v>
      </c>
      <c r="L47" s="109" t="n">
        <f aca="false">($D$21/12)*1*L21*(1+$B$2)^0</f>
        <v>8666.66666666667</v>
      </c>
      <c r="M47" s="109" t="n">
        <f aca="false">($D$21/12)*1*M21*(1+$B$2)^0</f>
        <v>8666.66666666667</v>
      </c>
      <c r="N47" s="109" t="n">
        <f aca="false">($D$21/12)*3*N21*(1+$B$2)^0</f>
        <v>26000</v>
      </c>
      <c r="O47" s="109" t="n">
        <f aca="false">($D$21/12)*3*O21*(1+$B$2)^1</f>
        <v>28600</v>
      </c>
      <c r="P47" s="109" t="n">
        <f aca="false">($D$21/12)*3*P21*(1+$B$2)^1</f>
        <v>28600</v>
      </c>
      <c r="Q47" s="109" t="n">
        <f aca="false">($D$21/12)*3*Q21*(1+$B$2)^1</f>
        <v>28600</v>
      </c>
      <c r="R47" s="109" t="n">
        <f aca="false">($D$21/12)*3*R21*(1+$B$2)^1</f>
        <v>28600</v>
      </c>
      <c r="S47" s="109" t="n">
        <f aca="false">($D$21/12)*3*S21*(1+$B$2)^2</f>
        <v>31460</v>
      </c>
      <c r="T47" s="109" t="n">
        <f aca="false">($D$21/12)*3*T21*(1+$B$2)^2</f>
        <v>31460</v>
      </c>
      <c r="U47" s="109" t="n">
        <f aca="false">($D$21/12)*3*U21*(1+$B$2)^2</f>
        <v>31460</v>
      </c>
      <c r="V47" s="109" t="n">
        <f aca="false">($D$21/12)*3*V21*(1+$B$2)^2</f>
        <v>31460</v>
      </c>
      <c r="W47" s="109" t="n">
        <f aca="false">($D$21/12)*3*W21*(1+$B$2)^3</f>
        <v>34606</v>
      </c>
      <c r="X47" s="109" t="n">
        <f aca="false">($D$21/12)*3*X21*(1+$B$2)^3</f>
        <v>34606</v>
      </c>
      <c r="Y47" s="109" t="n">
        <f aca="false">($D$21/12)*3*Y21*(1+$B$2)^3</f>
        <v>34606</v>
      </c>
      <c r="Z47" s="109" t="n">
        <f aca="false">($D$21/12)*3*Z21*(1+$B$2)^3</f>
        <v>34606</v>
      </c>
      <c r="AA47" s="109" t="n">
        <f aca="false">($D$21/12)*3*AA21*(1+$B$2)^4</f>
        <v>38066.6</v>
      </c>
      <c r="AB47" s="109" t="n">
        <f aca="false">($D$21/12)*3*AB21*(1+$B$2)^4</f>
        <v>38066.6</v>
      </c>
      <c r="AC47" s="109" t="n">
        <f aca="false">($D$21/12)*3*AC21*(1+$B$2)^4</f>
        <v>38066.6</v>
      </c>
    </row>
    <row r="48" customFormat="false" ht="15" hidden="false" customHeight="true" outlineLevel="0" collapsed="false">
      <c r="A48" s="111" t="str">
        <f aca="false">A22</f>
        <v>S&amp;M</v>
      </c>
      <c r="B48" s="22" t="str">
        <f aca="false">B22</f>
        <v>Account Executive</v>
      </c>
      <c r="C48" s="23"/>
      <c r="D48" s="21"/>
      <c r="E48" s="112" t="n">
        <f aca="false">($D$22/12)*1*E22*(1+$B$2)^0</f>
        <v>0</v>
      </c>
      <c r="F48" s="112" t="n">
        <f aca="false">($D$22/12)*1*F22*(1+$B$2)^0</f>
        <v>0</v>
      </c>
      <c r="G48" s="113" t="n">
        <f aca="false">($D$22/12)*1*G22*(1+$B$2)^0</f>
        <v>0</v>
      </c>
      <c r="H48" s="112" t="n">
        <f aca="false">($D$22/12)*1*H22*(1+$B$2)^0</f>
        <v>0</v>
      </c>
      <c r="I48" s="112" t="n">
        <f aca="false">($D$22/12)*1*I22*(1+$B$2)^0</f>
        <v>0</v>
      </c>
      <c r="J48" s="112" t="n">
        <f aca="false">($D$22/12)*1*J22*(1+$B$2)^0</f>
        <v>0</v>
      </c>
      <c r="K48" s="112" t="n">
        <f aca="false">($D$22/12)*1*K22*(1+$B$2)^0</f>
        <v>0</v>
      </c>
      <c r="L48" s="112" t="n">
        <f aca="false">($D$22/12)*1*L22*(1+$B$2)^0</f>
        <v>0</v>
      </c>
      <c r="M48" s="112" t="n">
        <f aca="false">($D$22/12)*1*M22*(1+$B$2)^0</f>
        <v>0</v>
      </c>
      <c r="N48" s="112" t="n">
        <f aca="false">($D$22/12)*3*N22*(1+$B$2)^0</f>
        <v>26000</v>
      </c>
      <c r="O48" s="112" t="n">
        <f aca="false">($D$22/12)*3*O22*(1+$B$2)^1</f>
        <v>28600</v>
      </c>
      <c r="P48" s="112" t="n">
        <f aca="false">($D$22/12)*3*P22*(1+$B$2)^1</f>
        <v>28600</v>
      </c>
      <c r="Q48" s="112" t="n">
        <f aca="false">($D$22/12)*3*Q22*(1+$B$2)^1</f>
        <v>28600</v>
      </c>
      <c r="R48" s="112" t="n">
        <f aca="false">($D$22/12)*3*R22*(1+$B$2)^1</f>
        <v>28600</v>
      </c>
      <c r="S48" s="112" t="n">
        <f aca="false">($D$22/12)*3*S22*(1+$B$2)^2</f>
        <v>31460</v>
      </c>
      <c r="T48" s="112" t="n">
        <f aca="false">($D$22/12)*3*T22*(1+$B$2)^2</f>
        <v>31460</v>
      </c>
      <c r="U48" s="112" t="n">
        <f aca="false">($D$22/12)*3*U22*(1+$B$2)^2</f>
        <v>31460</v>
      </c>
      <c r="V48" s="112" t="n">
        <f aca="false">($D$22/12)*3*V22*(1+$B$2)^2</f>
        <v>31460</v>
      </c>
      <c r="W48" s="112" t="n">
        <f aca="false">($D$22/12)*3*W22*(1+$B$2)^3</f>
        <v>34606</v>
      </c>
      <c r="X48" s="112" t="n">
        <f aca="false">($D$22/12)*3*X22*(1+$B$2)^3</f>
        <v>34606</v>
      </c>
      <c r="Y48" s="112" t="n">
        <f aca="false">($D$22/12)*3*Y22*(1+$B$2)^3</f>
        <v>34606</v>
      </c>
      <c r="Z48" s="112" t="n">
        <f aca="false">($D$22/12)*3*Z22*(1+$B$2)^3</f>
        <v>34606</v>
      </c>
      <c r="AA48" s="112" t="n">
        <f aca="false">($D$22/12)*3*AA22*(1+$B$2)^4</f>
        <v>38066.6</v>
      </c>
      <c r="AB48" s="112" t="n">
        <f aca="false">($D$22/12)*3*AB22*(1+$B$2)^4</f>
        <v>38066.6</v>
      </c>
      <c r="AC48" s="112" t="n">
        <f aca="false">($D$22/12)*3*AC22*(1+$B$2)^4</f>
        <v>38066.6</v>
      </c>
    </row>
    <row r="49" customFormat="false" ht="15" hidden="false" customHeight="true" outlineLevel="0" collapsed="false">
      <c r="A49" s="108" t="str">
        <f aca="false">A23</f>
        <v>S&amp;M</v>
      </c>
      <c r="B49" s="17" t="str">
        <f aca="false">B23</f>
        <v>Account Executive</v>
      </c>
      <c r="C49" s="18"/>
      <c r="D49" s="16"/>
      <c r="E49" s="109" t="n">
        <f aca="false">($D$23/12)*1*E23*(1+$B$2)^0</f>
        <v>0</v>
      </c>
      <c r="F49" s="109" t="n">
        <f aca="false">($D$23/12)*1*F23*(1+$B$2)^0</f>
        <v>0</v>
      </c>
      <c r="G49" s="110" t="n">
        <f aca="false">($D$23/12)*1*G23*(1+$B$2)^0</f>
        <v>0</v>
      </c>
      <c r="H49" s="109" t="n">
        <f aca="false">($D$23/12)*1*H23*(1+$B$2)^0</f>
        <v>0</v>
      </c>
      <c r="I49" s="109" t="n">
        <f aca="false">($D$23/12)*1*I23*(1+$B$2)^0</f>
        <v>0</v>
      </c>
      <c r="J49" s="109" t="n">
        <f aca="false">($D$23/12)*1*J23*(1+$B$2)^0</f>
        <v>0</v>
      </c>
      <c r="K49" s="109" t="n">
        <f aca="false">($D$23/12)*1*K23*(1+$B$2)^0</f>
        <v>0</v>
      </c>
      <c r="L49" s="109" t="n">
        <f aca="false">($D$23/12)*1*L23*(1+$B$2)^0</f>
        <v>0</v>
      </c>
      <c r="M49" s="109" t="n">
        <f aca="false">($D$23/12)*1*M23*(1+$B$2)^0</f>
        <v>0</v>
      </c>
      <c r="N49" s="109" t="n">
        <f aca="false">($D$23/12)*3*N23*(1+$B$2)^0</f>
        <v>0</v>
      </c>
      <c r="O49" s="109" t="n">
        <f aca="false">($D$23/12)*3*O23*(1+$B$2)^1</f>
        <v>0</v>
      </c>
      <c r="P49" s="109" t="n">
        <f aca="false">($D$23/12)*3*P23*(1+$B$2)^1</f>
        <v>28600</v>
      </c>
      <c r="Q49" s="109" t="n">
        <f aca="false">($D$23/12)*3*Q23*(1+$B$2)^1</f>
        <v>28600</v>
      </c>
      <c r="R49" s="109" t="n">
        <f aca="false">($D$23/12)*3*R23*(1+$B$2)^1</f>
        <v>28600</v>
      </c>
      <c r="S49" s="109" t="n">
        <f aca="false">($D$23/12)*3*S23*(1+$B$2)^2</f>
        <v>31460</v>
      </c>
      <c r="T49" s="109" t="n">
        <f aca="false">($D$23/12)*3*T23*(1+$B$2)^2</f>
        <v>31460</v>
      </c>
      <c r="U49" s="109" t="n">
        <f aca="false">($D$23/12)*3*U23*(1+$B$2)^2</f>
        <v>31460</v>
      </c>
      <c r="V49" s="109" t="n">
        <f aca="false">($D$23/12)*3*V23*(1+$B$2)^2</f>
        <v>31460</v>
      </c>
      <c r="W49" s="109" t="n">
        <f aca="false">($D$23/12)*3*W23*(1+$B$2)^3</f>
        <v>34606</v>
      </c>
      <c r="X49" s="109" t="n">
        <f aca="false">($D$23/12)*3*X23*(1+$B$2)^3</f>
        <v>34606</v>
      </c>
      <c r="Y49" s="109" t="n">
        <f aca="false">($D$23/12)*3*Y23*(1+$B$2)^3</f>
        <v>34606</v>
      </c>
      <c r="Z49" s="109" t="n">
        <f aca="false">($D$23/12)*3*Z23*(1+$B$2)^3</f>
        <v>34606</v>
      </c>
      <c r="AA49" s="109" t="n">
        <f aca="false">($D$23/12)*3*AA23*(1+$B$2)^4</f>
        <v>38066.6</v>
      </c>
      <c r="AB49" s="109" t="n">
        <f aca="false">($D$23/12)*3*AB23*(1+$B$2)^4</f>
        <v>38066.6</v>
      </c>
      <c r="AC49" s="109" t="n">
        <f aca="false">($D$23/12)*3*AC23*(1+$B$2)^4</f>
        <v>38066.6</v>
      </c>
    </row>
    <row r="50" customFormat="false" ht="15" hidden="false" customHeight="true" outlineLevel="0" collapsed="false">
      <c r="A50" s="111" t="str">
        <f aca="false">A24</f>
        <v>S&amp;M</v>
      </c>
      <c r="B50" s="22" t="str">
        <f aca="false">B24</f>
        <v>Account Executive</v>
      </c>
      <c r="C50" s="23"/>
      <c r="D50" s="21"/>
      <c r="E50" s="112" t="n">
        <f aca="false">($D$24/12)*1*E24*(1+$B$2)^0</f>
        <v>0</v>
      </c>
      <c r="F50" s="112" t="n">
        <f aca="false">($D$24/12)*1*F24*(1+$B$2)^0</f>
        <v>0</v>
      </c>
      <c r="G50" s="113" t="n">
        <f aca="false">($D$24/12)*1*G24*(1+$B$2)^0</f>
        <v>0</v>
      </c>
      <c r="H50" s="112" t="n">
        <f aca="false">($D$24/12)*1*H24*(1+$B$2)^0</f>
        <v>0</v>
      </c>
      <c r="I50" s="112" t="n">
        <f aca="false">($D$24/12)*1*I24*(1+$B$2)^0</f>
        <v>0</v>
      </c>
      <c r="J50" s="112" t="n">
        <f aca="false">($D$24/12)*1*J24*(1+$B$2)^0</f>
        <v>0</v>
      </c>
      <c r="K50" s="112" t="n">
        <f aca="false">($D$24/12)*1*K24*(1+$B$2)^0</f>
        <v>0</v>
      </c>
      <c r="L50" s="112" t="n">
        <f aca="false">($D$24/12)*1*L24*(1+$B$2)^0</f>
        <v>0</v>
      </c>
      <c r="M50" s="112" t="n">
        <f aca="false">($D$24/12)*1*M24*(1+$B$2)^0</f>
        <v>0</v>
      </c>
      <c r="N50" s="112" t="n">
        <f aca="false">($D$24/12)*3*N24*(1+$B$2)^0</f>
        <v>0</v>
      </c>
      <c r="O50" s="112" t="n">
        <f aca="false">($D$24/12)*3*O24*(1+$B$2)^1</f>
        <v>0</v>
      </c>
      <c r="P50" s="112" t="n">
        <f aca="false">($D$24/12)*3*P24*(1+$B$2)^1</f>
        <v>0</v>
      </c>
      <c r="Q50" s="112" t="n">
        <f aca="false">($D$24/12)*3*Q24*(1+$B$2)^1</f>
        <v>28600</v>
      </c>
      <c r="R50" s="112" t="n">
        <f aca="false">($D$24/12)*3*R24*(1+$B$2)^1</f>
        <v>28600</v>
      </c>
      <c r="S50" s="112" t="n">
        <f aca="false">($D$24/12)*3*S24*(1+$B$2)^2</f>
        <v>31460</v>
      </c>
      <c r="T50" s="112" t="n">
        <f aca="false">($D$24/12)*3*T24*(1+$B$2)^2</f>
        <v>31460</v>
      </c>
      <c r="U50" s="112" t="n">
        <f aca="false">($D$24/12)*3*U24*(1+$B$2)^2</f>
        <v>31460</v>
      </c>
      <c r="V50" s="112" t="n">
        <f aca="false">($D$24/12)*3*V24*(1+$B$2)^2</f>
        <v>31460</v>
      </c>
      <c r="W50" s="112" t="n">
        <f aca="false">($D$24/12)*3*W24*(1+$B$2)^3</f>
        <v>34606</v>
      </c>
      <c r="X50" s="112" t="n">
        <f aca="false">($D$24/12)*3*X24*(1+$B$2)^3</f>
        <v>34606</v>
      </c>
      <c r="Y50" s="112" t="n">
        <f aca="false">($D$24/12)*3*Y24*(1+$B$2)^3</f>
        <v>34606</v>
      </c>
      <c r="Z50" s="112" t="n">
        <f aca="false">($D$24/12)*3*Z24*(1+$B$2)^3</f>
        <v>34606</v>
      </c>
      <c r="AA50" s="112" t="n">
        <f aca="false">($D$24/12)*3*AA24*(1+$B$2)^4</f>
        <v>38066.6</v>
      </c>
      <c r="AB50" s="112" t="n">
        <f aca="false">($D$24/12)*3*AB24*(1+$B$2)^4</f>
        <v>38066.6</v>
      </c>
      <c r="AC50" s="112" t="n">
        <f aca="false">($D$24/12)*3*AC24*(1+$B$2)^4</f>
        <v>38066.6</v>
      </c>
    </row>
    <row r="51" customFormat="false" ht="15" hidden="false" customHeight="true" outlineLevel="0" collapsed="false">
      <c r="A51" s="108" t="str">
        <f aca="false">A25</f>
        <v>S&amp;M</v>
      </c>
      <c r="B51" s="17" t="str">
        <f aca="false">B25</f>
        <v>Account Executive</v>
      </c>
      <c r="C51" s="18"/>
      <c r="D51" s="16"/>
      <c r="E51" s="109" t="n">
        <f aca="false">($D$25/12)*1*E25*(1+$B$2)^0</f>
        <v>0</v>
      </c>
      <c r="F51" s="109" t="n">
        <f aca="false">($D$25/12)*1*F25*(1+$B$2)^0</f>
        <v>0</v>
      </c>
      <c r="G51" s="110" t="n">
        <f aca="false">($D$25/12)*1*G25*(1+$B$2)^0</f>
        <v>0</v>
      </c>
      <c r="H51" s="109" t="n">
        <f aca="false">($D$25/12)*1*H25*(1+$B$2)^0</f>
        <v>0</v>
      </c>
      <c r="I51" s="109" t="n">
        <f aca="false">($D$25/12)*1*I25*(1+$B$2)^0</f>
        <v>0</v>
      </c>
      <c r="J51" s="109" t="n">
        <f aca="false">($D$25/12)*1*J25*(1+$B$2)^0</f>
        <v>0</v>
      </c>
      <c r="K51" s="109" t="n">
        <f aca="false">($D$25/12)*1*K25*(1+$B$2)^0</f>
        <v>0</v>
      </c>
      <c r="L51" s="109" t="n">
        <f aca="false">($D$25/12)*1*L25*(1+$B$2)^0</f>
        <v>0</v>
      </c>
      <c r="M51" s="109" t="n">
        <f aca="false">($D$25/12)*1*M25*(1+$B$2)^0</f>
        <v>0</v>
      </c>
      <c r="N51" s="109" t="n">
        <f aca="false">($D$25/12)*3*N25*(1+$B$2)^0</f>
        <v>0</v>
      </c>
      <c r="O51" s="109" t="n">
        <f aca="false">($D$25/12)*3*O25*(1+$B$2)^1</f>
        <v>0</v>
      </c>
      <c r="P51" s="109" t="n">
        <f aca="false">($D$25/12)*3*P25*(1+$B$2)^1</f>
        <v>0</v>
      </c>
      <c r="Q51" s="109" t="n">
        <f aca="false">($D$25/12)*3*Q25*(1+$B$2)^1</f>
        <v>0</v>
      </c>
      <c r="R51" s="109" t="n">
        <f aca="false">($D$25/12)*3*R25*(1+$B$2)^1</f>
        <v>0</v>
      </c>
      <c r="S51" s="109" t="n">
        <f aca="false">($D$25/12)*3*S25*(1+$B$2)^2</f>
        <v>31460</v>
      </c>
      <c r="T51" s="109" t="n">
        <f aca="false">($D$25/12)*3*T25*(1+$B$2)^2</f>
        <v>31460</v>
      </c>
      <c r="U51" s="109" t="n">
        <f aca="false">($D$25/12)*3*U25*(1+$B$2)^2</f>
        <v>31460</v>
      </c>
      <c r="V51" s="109" t="n">
        <f aca="false">($D$25/12)*3*V25*(1+$B$2)^2</f>
        <v>31460</v>
      </c>
      <c r="W51" s="109" t="n">
        <f aca="false">($D$25/12)*3*W25*(1+$B$2)^3</f>
        <v>34606</v>
      </c>
      <c r="X51" s="109" t="n">
        <f aca="false">($D$25/12)*3*X25*(1+$B$2)^3</f>
        <v>34606</v>
      </c>
      <c r="Y51" s="109" t="n">
        <f aca="false">($D$25/12)*3*Y25*(1+$B$2)^3</f>
        <v>34606</v>
      </c>
      <c r="Z51" s="109" t="n">
        <f aca="false">($D$25/12)*3*Z25*(1+$B$2)^3</f>
        <v>34606</v>
      </c>
      <c r="AA51" s="109" t="n">
        <f aca="false">($D$25/12)*3*AA25*(1+$B$2)^4</f>
        <v>38066.6</v>
      </c>
      <c r="AB51" s="109" t="n">
        <f aca="false">($D$25/12)*3*AB25*(1+$B$2)^4</f>
        <v>38066.6</v>
      </c>
      <c r="AC51" s="109" t="n">
        <f aca="false">($D$25/12)*3*AC25*(1+$B$2)^4</f>
        <v>38066.6</v>
      </c>
    </row>
    <row r="52" customFormat="false" ht="15" hidden="false" customHeight="true" outlineLevel="0" collapsed="false">
      <c r="A52" s="111" t="str">
        <f aca="false">A26</f>
        <v>S&amp;M</v>
      </c>
      <c r="B52" s="22" t="str">
        <f aca="false">B26</f>
        <v>Account Executive</v>
      </c>
      <c r="C52" s="23"/>
      <c r="D52" s="21"/>
      <c r="E52" s="112" t="n">
        <f aca="false">($D$26/12)*1*E26*(1+$B$2)^0</f>
        <v>0</v>
      </c>
      <c r="F52" s="112" t="n">
        <f aca="false">($D$26/12)*1*F26*(1+$B$2)^0</f>
        <v>0</v>
      </c>
      <c r="G52" s="113" t="n">
        <f aca="false">($D$26/12)*1*G26*(1+$B$2)^0</f>
        <v>0</v>
      </c>
      <c r="H52" s="112" t="n">
        <f aca="false">($D$26/12)*1*H26*(1+$B$2)^0</f>
        <v>0</v>
      </c>
      <c r="I52" s="112" t="n">
        <f aca="false">($D$26/12)*1*I26*(1+$B$2)^0</f>
        <v>0</v>
      </c>
      <c r="J52" s="112" t="n">
        <f aca="false">($D$26/12)*1*J26*(1+$B$2)^0</f>
        <v>0</v>
      </c>
      <c r="K52" s="112" t="n">
        <f aca="false">($D$26/12)*1*K26*(1+$B$2)^0</f>
        <v>0</v>
      </c>
      <c r="L52" s="112" t="n">
        <f aca="false">($D$26/12)*1*L26*(1+$B$2)^0</f>
        <v>0</v>
      </c>
      <c r="M52" s="112" t="n">
        <f aca="false">($D$26/12)*1*M26*(1+$B$2)^0</f>
        <v>0</v>
      </c>
      <c r="N52" s="112" t="n">
        <f aca="false">($D$26/12)*3*N26*(1+$B$2)^0</f>
        <v>0</v>
      </c>
      <c r="O52" s="112" t="n">
        <f aca="false">($D$26/12)*3*O26*(1+$B$2)^1</f>
        <v>0</v>
      </c>
      <c r="P52" s="112" t="n">
        <f aca="false">($D$26/12)*3*P26*(1+$B$2)^1</f>
        <v>0</v>
      </c>
      <c r="Q52" s="112" t="n">
        <f aca="false">($D$26/12)*3*Q26*(1+$B$2)^1</f>
        <v>0</v>
      </c>
      <c r="R52" s="112" t="n">
        <f aca="false">($D$26/12)*3*R26*(1+$B$2)^1</f>
        <v>0</v>
      </c>
      <c r="S52" s="112" t="n">
        <f aca="false">($D$26/12)*3*S26*(1+$B$2)^2</f>
        <v>0</v>
      </c>
      <c r="T52" s="112" t="n">
        <f aca="false">($D$26/12)*3*T26*(1+$B$2)^2</f>
        <v>31460</v>
      </c>
      <c r="U52" s="112" t="n">
        <f aca="false">($D$26/12)*3*U26*(1+$B$2)^2</f>
        <v>31460</v>
      </c>
      <c r="V52" s="112" t="n">
        <f aca="false">($D$26/12)*3*V26*(1+$B$2)^2</f>
        <v>31460</v>
      </c>
      <c r="W52" s="112" t="n">
        <f aca="false">($D$26/12)*3*W26*(1+$B$2)^3</f>
        <v>34606</v>
      </c>
      <c r="X52" s="112" t="n">
        <f aca="false">($D$26/12)*3*X26*(1+$B$2)^3</f>
        <v>34606</v>
      </c>
      <c r="Y52" s="112" t="n">
        <f aca="false">($D$26/12)*3*Y26*(1+$B$2)^3</f>
        <v>34606</v>
      </c>
      <c r="Z52" s="112" t="n">
        <f aca="false">($D$26/12)*3*Z26*(1+$B$2)^3</f>
        <v>34606</v>
      </c>
      <c r="AA52" s="112" t="n">
        <f aca="false">($D$26/12)*3*AA26*(1+$B$2)^4</f>
        <v>38066.6</v>
      </c>
      <c r="AB52" s="112" t="n">
        <f aca="false">($D$26/12)*3*AB26*(1+$B$2)^4</f>
        <v>38066.6</v>
      </c>
      <c r="AC52" s="112" t="n">
        <f aca="false">($D$26/12)*3*AC26*(1+$B$2)^4</f>
        <v>38066.6</v>
      </c>
    </row>
    <row r="53" customFormat="false" ht="15" hidden="false" customHeight="true" outlineLevel="0" collapsed="false">
      <c r="A53" s="108" t="str">
        <f aca="false">A27</f>
        <v>S&amp;M</v>
      </c>
      <c r="B53" s="17" t="str">
        <f aca="false">B27</f>
        <v>Account Executive</v>
      </c>
      <c r="C53" s="18"/>
      <c r="D53" s="16"/>
      <c r="E53" s="109" t="n">
        <f aca="false">($D$27/12)*1*E27*(1+$B$2)^0</f>
        <v>0</v>
      </c>
      <c r="F53" s="109" t="n">
        <f aca="false">($D$27/12)*1*F27*(1+$B$2)^0</f>
        <v>0</v>
      </c>
      <c r="G53" s="110" t="n">
        <f aca="false">($D$27/12)*1*G27*(1+$B$2)^0</f>
        <v>0</v>
      </c>
      <c r="H53" s="109" t="n">
        <f aca="false">($D$27/12)*1*H27*(1+$B$2)^0</f>
        <v>0</v>
      </c>
      <c r="I53" s="109" t="n">
        <f aca="false">($D$27/12)*1*I27*(1+$B$2)^0</f>
        <v>0</v>
      </c>
      <c r="J53" s="109" t="n">
        <f aca="false">($D$27/12)*1*J27*(1+$B$2)^0</f>
        <v>0</v>
      </c>
      <c r="K53" s="109" t="n">
        <f aca="false">($D$27/12)*1*K27*(1+$B$2)^0</f>
        <v>0</v>
      </c>
      <c r="L53" s="109" t="n">
        <f aca="false">($D$27/12)*1*L27*(1+$B$2)^0</f>
        <v>0</v>
      </c>
      <c r="M53" s="109" t="n">
        <f aca="false">($D$27/12)*1*M27*(1+$B$2)^0</f>
        <v>0</v>
      </c>
      <c r="N53" s="109" t="n">
        <f aca="false">($D$27/12)*3*N27*(1+$B$2)^0</f>
        <v>0</v>
      </c>
      <c r="O53" s="109" t="n">
        <f aca="false">($D$27/12)*3*O27*(1+$B$2)^1</f>
        <v>0</v>
      </c>
      <c r="P53" s="109" t="n">
        <f aca="false">($D$27/12)*3*P27*(1+$B$2)^1</f>
        <v>0</v>
      </c>
      <c r="Q53" s="109" t="n">
        <f aca="false">($D$27/12)*3*Q27*(1+$B$2)^1</f>
        <v>0</v>
      </c>
      <c r="R53" s="109" t="n">
        <f aca="false">($D$27/12)*3*R27*(1+$B$2)^1</f>
        <v>0</v>
      </c>
      <c r="S53" s="109" t="n">
        <f aca="false">($D$27/12)*3*S27*(1+$B$2)^2</f>
        <v>0</v>
      </c>
      <c r="T53" s="109" t="n">
        <f aca="false">($D$27/12)*3*T27*(1+$B$2)^2</f>
        <v>0</v>
      </c>
      <c r="U53" s="109" t="n">
        <f aca="false">($D$27/12)*3*U27*(1+$B$2)^2</f>
        <v>31460</v>
      </c>
      <c r="V53" s="109" t="n">
        <f aca="false">($D$27/12)*3*V27*(1+$B$2)^2</f>
        <v>31460</v>
      </c>
      <c r="W53" s="109" t="n">
        <f aca="false">($D$27/12)*3*W27*(1+$B$2)^3</f>
        <v>34606</v>
      </c>
      <c r="X53" s="109" t="n">
        <f aca="false">($D$27/12)*3*X27*(1+$B$2)^3</f>
        <v>34606</v>
      </c>
      <c r="Y53" s="109" t="n">
        <f aca="false">($D$27/12)*3*Y27*(1+$B$2)^3</f>
        <v>34606</v>
      </c>
      <c r="Z53" s="109" t="n">
        <f aca="false">($D$27/12)*3*Z27*(1+$B$2)^3</f>
        <v>34606</v>
      </c>
      <c r="AA53" s="109" t="n">
        <f aca="false">($D$27/12)*3*AA27*(1+$B$2)^4</f>
        <v>38066.6</v>
      </c>
      <c r="AB53" s="109" t="n">
        <f aca="false">($D$27/12)*3*AB27*(1+$B$2)^4</f>
        <v>38066.6</v>
      </c>
      <c r="AC53" s="109" t="n">
        <f aca="false">($D$27/12)*3*AC27*(1+$B$2)^4</f>
        <v>38066.6</v>
      </c>
    </row>
    <row r="54" customFormat="false" ht="15" hidden="false" customHeight="true" outlineLevel="0" collapsed="false">
      <c r="A54" s="111" t="str">
        <f aca="false">A28</f>
        <v>S&amp;M</v>
      </c>
      <c r="B54" s="22" t="str">
        <f aca="false">B28</f>
        <v>Growth Marketing Manager</v>
      </c>
      <c r="C54" s="23"/>
      <c r="D54" s="21"/>
      <c r="E54" s="112" t="n">
        <f aca="false">($D$28/12)*1*E28*(1+$B$2)^0</f>
        <v>0</v>
      </c>
      <c r="F54" s="112" t="n">
        <f aca="false">($D$28/12)*1*F28*(1+$B$2)^0</f>
        <v>0</v>
      </c>
      <c r="G54" s="113" t="n">
        <f aca="false">($D$28/12)*1*G28*(1+$B$2)^0</f>
        <v>0</v>
      </c>
      <c r="H54" s="112" t="n">
        <f aca="false">($D$28/12)*1*H28*(1+$B$2)^0</f>
        <v>0</v>
      </c>
      <c r="I54" s="112" t="n">
        <f aca="false">($D$28/12)*1*I28*(1+$B$2)^0</f>
        <v>0</v>
      </c>
      <c r="J54" s="112" t="n">
        <f aca="false">($D$28/12)*1*J28*(1+$B$2)^0</f>
        <v>0</v>
      </c>
      <c r="K54" s="112" t="n">
        <f aca="false">($D$28/12)*1*K28*(1+$B$2)^0</f>
        <v>0</v>
      </c>
      <c r="L54" s="112" t="n">
        <f aca="false">($D$28/12)*1*L28*(1+$B$2)^0</f>
        <v>0</v>
      </c>
      <c r="M54" s="112" t="n">
        <f aca="false">($D$28/12)*1*M28*(1+$B$2)^0</f>
        <v>0</v>
      </c>
      <c r="N54" s="112" t="n">
        <f aca="false">($D$28/12)*3*N28*(1+$B$2)^0</f>
        <v>0</v>
      </c>
      <c r="O54" s="112" t="n">
        <f aca="false">($D$28/12)*3*O28*(1+$B$2)^1</f>
        <v>0</v>
      </c>
      <c r="P54" s="112" t="n">
        <f aca="false">($D$28/12)*3*P28*(1+$B$2)^1</f>
        <v>0</v>
      </c>
      <c r="Q54" s="112" t="n">
        <f aca="false">($D$28/12)*3*Q28*(1+$B$2)^1</f>
        <v>19662.5</v>
      </c>
      <c r="R54" s="112" t="n">
        <f aca="false">($D$28/12)*3*R28*(1+$B$2)^1</f>
        <v>19662.5</v>
      </c>
      <c r="S54" s="112" t="n">
        <f aca="false">($D$28/12)*3*S28*(1+$B$2)^2</f>
        <v>21628.75</v>
      </c>
      <c r="T54" s="112" t="n">
        <f aca="false">($D$28/12)*3*T28*(1+$B$2)^2</f>
        <v>21628.75</v>
      </c>
      <c r="U54" s="112" t="n">
        <f aca="false">($D$28/12)*3*U28*(1+$B$2)^2</f>
        <v>21628.75</v>
      </c>
      <c r="V54" s="112" t="n">
        <f aca="false">($D$28/12)*3*V28*(1+$B$2)^2</f>
        <v>21628.75</v>
      </c>
      <c r="W54" s="112" t="n">
        <f aca="false">($D$28/12)*3*W28*(1+$B$2)^3</f>
        <v>23791.625</v>
      </c>
      <c r="X54" s="112" t="n">
        <f aca="false">($D$28/12)*3*X28*(1+$B$2)^3</f>
        <v>23791.625</v>
      </c>
      <c r="Y54" s="112" t="n">
        <f aca="false">($D$28/12)*3*Y28*(1+$B$2)^3</f>
        <v>23791.625</v>
      </c>
      <c r="Z54" s="112" t="n">
        <f aca="false">($D$28/12)*3*Z28*(1+$B$2)^3</f>
        <v>23791.625</v>
      </c>
      <c r="AA54" s="112" t="n">
        <f aca="false">($D$28/12)*3*AA28*(1+$B$2)^4</f>
        <v>26170.7875</v>
      </c>
      <c r="AB54" s="112" t="n">
        <f aca="false">($D$28/12)*3*AB28*(1+$B$2)^4</f>
        <v>26170.7875</v>
      </c>
      <c r="AC54" s="112" t="n">
        <f aca="false">($D$28/12)*3*AC28*(1+$B$2)^4</f>
        <v>26170.7875</v>
      </c>
    </row>
    <row r="55" customFormat="false" ht="15" hidden="false" customHeight="true" outlineLevel="0" collapsed="false">
      <c r="A55" s="108" t="str">
        <f aca="false">A29</f>
        <v>G&amp;A</v>
      </c>
      <c r="B55" s="17" t="str">
        <f aca="false">B29</f>
        <v>Finance Director</v>
      </c>
      <c r="C55" s="18"/>
      <c r="D55" s="16"/>
      <c r="E55" s="109" t="n">
        <f aca="false">($D$29/12)*1*E29*(1+$B$2)^0</f>
        <v>0</v>
      </c>
      <c r="F55" s="109" t="n">
        <f aca="false">($D$29/12)*1*F29*(1+$B$2)^0</f>
        <v>0</v>
      </c>
      <c r="G55" s="110" t="n">
        <f aca="false">($D$29/12)*1*G29*(1+$B$2)^0</f>
        <v>0</v>
      </c>
      <c r="H55" s="109" t="n">
        <f aca="false">($D$29/12)*1*H29*(1+$B$2)^0</f>
        <v>0</v>
      </c>
      <c r="I55" s="109" t="n">
        <f aca="false">($D$29/12)*1*I29*(1+$B$2)^0</f>
        <v>0</v>
      </c>
      <c r="J55" s="109" t="n">
        <f aca="false">($D$29/12)*1*J29*(1+$B$2)^0</f>
        <v>0</v>
      </c>
      <c r="K55" s="109" t="n">
        <f aca="false">($D$29/12)*1*K29*(1+$B$2)^0</f>
        <v>0</v>
      </c>
      <c r="L55" s="109" t="n">
        <f aca="false">($D$29/12)*1*L29*(1+$B$2)^0</f>
        <v>0</v>
      </c>
      <c r="M55" s="109" t="n">
        <f aca="false">($D$29/12)*1*M29*(1+$B$2)^0</f>
        <v>0</v>
      </c>
      <c r="N55" s="109" t="n">
        <f aca="false">($D$29/12)*3*N29*(1+$B$2)^0</f>
        <v>0</v>
      </c>
      <c r="O55" s="109" t="n">
        <f aca="false">($D$29/12)*3*O29*(1+$B$2)^1</f>
        <v>0</v>
      </c>
      <c r="P55" s="109" t="n">
        <f aca="false">($D$29/12)*3*P29*(1+$B$2)^1</f>
        <v>0</v>
      </c>
      <c r="Q55" s="109" t="n">
        <f aca="false">($D$29/12)*3*Q29*(1+$B$2)^1</f>
        <v>28600</v>
      </c>
      <c r="R55" s="109" t="n">
        <f aca="false">($D$29/12)*3*R29*(1+$B$2)^1</f>
        <v>28600</v>
      </c>
      <c r="S55" s="109" t="n">
        <f aca="false">($D$29/12)*3*S29*(1+$B$2)^2</f>
        <v>31460</v>
      </c>
      <c r="T55" s="109" t="n">
        <f aca="false">($D$29/12)*3*T29*(1+$B$2)^2</f>
        <v>31460</v>
      </c>
      <c r="U55" s="109" t="n">
        <f aca="false">($D$29/12)*3*U29*(1+$B$2)^2</f>
        <v>31460</v>
      </c>
      <c r="V55" s="109" t="n">
        <f aca="false">($D$29/12)*3*V29*(1+$B$2)^2</f>
        <v>31460</v>
      </c>
      <c r="W55" s="109" t="n">
        <f aca="false">($D$29/12)*3*W29*(1+$B$2)^3</f>
        <v>34606</v>
      </c>
      <c r="X55" s="109" t="n">
        <f aca="false">($D$29/12)*3*X29*(1+$B$2)^3</f>
        <v>34606</v>
      </c>
      <c r="Y55" s="109" t="n">
        <f aca="false">($D$29/12)*3*Y29*(1+$B$2)^3</f>
        <v>34606</v>
      </c>
      <c r="Z55" s="109" t="n">
        <f aca="false">($D$29/12)*3*Z29*(1+$B$2)^3</f>
        <v>34606</v>
      </c>
      <c r="AA55" s="109" t="n">
        <f aca="false">($D$29/12)*3*AA29*(1+$B$2)^4</f>
        <v>38066.6</v>
      </c>
      <c r="AB55" s="109" t="n">
        <f aca="false">($D$29/12)*3*AB29*(1+$B$2)^4</f>
        <v>38066.6</v>
      </c>
      <c r="AC55" s="109" t="n">
        <f aca="false">($D$29/12)*3*AC29*(1+$B$2)^4</f>
        <v>38066.6</v>
      </c>
    </row>
    <row r="57" customFormat="false" ht="15" hidden="false" customHeight="true" outlineLevel="0" collapsed="false">
      <c r="A57" s="28" t="s">
        <v>451</v>
      </c>
      <c r="B57" s="28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customFormat="false" ht="15" hidden="false" customHeight="true" outlineLevel="0" collapsed="false">
      <c r="A58" s="114" t="s">
        <v>452</v>
      </c>
      <c r="B58" s="17"/>
      <c r="C58" s="18"/>
      <c r="D58" s="16"/>
      <c r="E58" s="109" t="n">
        <f aca="false">E47+E48+E49+E50+E51+E52+E53+E54</f>
        <v>0</v>
      </c>
      <c r="F58" s="109" t="n">
        <f aca="false">F47+F48+F49+F50+F51+F52+F53+F54</f>
        <v>0</v>
      </c>
      <c r="G58" s="110" t="n">
        <f aca="false">G47+G48+G49+G50+G51+G52+G53+G54</f>
        <v>0</v>
      </c>
      <c r="H58" s="109" t="n">
        <f aca="false">H47+H48+H49+H50+H51+H52+H53+H54</f>
        <v>8666.66666666667</v>
      </c>
      <c r="I58" s="109" t="n">
        <f aca="false">I47+I48+I49+I50+I51+I52+I53+I54</f>
        <v>8666.66666666667</v>
      </c>
      <c r="J58" s="109" t="n">
        <f aca="false">J47+J48+J49+J50+J51+J52+J53+J54</f>
        <v>8666.66666666667</v>
      </c>
      <c r="K58" s="109" t="n">
        <f aca="false">K47+K48+K49+K50+K51+K52+K53+K54</f>
        <v>8666.66666666667</v>
      </c>
      <c r="L58" s="109" t="n">
        <f aca="false">L47+L48+L49+L50+L51+L52+L53+L54</f>
        <v>8666.66666666667</v>
      </c>
      <c r="M58" s="109" t="n">
        <f aca="false">M47+M48+M49+M50+M51+M52+M53+M54</f>
        <v>8666.66666666667</v>
      </c>
      <c r="N58" s="109" t="n">
        <f aca="false">N47+N48+N49+N50+N51+N52+N53+N54</f>
        <v>52000</v>
      </c>
      <c r="O58" s="109" t="n">
        <f aca="false">O47+O48+O49+O50+O51+O52+O53+O54</f>
        <v>57200</v>
      </c>
      <c r="P58" s="109" t="n">
        <f aca="false">P47+P48+P49+P50+P51+P52+P53+P54</f>
        <v>85800</v>
      </c>
      <c r="Q58" s="109" t="n">
        <f aca="false">Q47+Q48+Q49+Q50+Q51+Q52+Q53+Q54</f>
        <v>134062.5</v>
      </c>
      <c r="R58" s="109" t="n">
        <f aca="false">R47+R48+R49+R50+R51+R52+R53+R54</f>
        <v>134062.5</v>
      </c>
      <c r="S58" s="109" t="n">
        <f aca="false">S47+S48+S49+S50+S51+S52+S53+S54</f>
        <v>178928.75</v>
      </c>
      <c r="T58" s="109" t="n">
        <f aca="false">T47+T48+T49+T50+T51+T52+T53+T54</f>
        <v>210388.75</v>
      </c>
      <c r="U58" s="109" t="n">
        <f aca="false">U47+U48+U49+U50+U51+U52+U53+U54</f>
        <v>241848.75</v>
      </c>
      <c r="V58" s="109" t="n">
        <f aca="false">V47+V48+V49+V50+V51+V52+V53+V54</f>
        <v>241848.75</v>
      </c>
      <c r="W58" s="109" t="n">
        <f aca="false">W47+W48+W49+W50+W51+W52+W53+W54</f>
        <v>266033.625</v>
      </c>
      <c r="X58" s="109" t="n">
        <f aca="false">X47+X48+X49+X50+X51+X52+X53+X54</f>
        <v>266033.625</v>
      </c>
      <c r="Y58" s="109" t="n">
        <f aca="false">Y47+Y48+Y49+Y50+Y51+Y52+Y53+Y54</f>
        <v>266033.625</v>
      </c>
      <c r="Z58" s="109" t="n">
        <f aca="false">Z47+Z48+Z49+Z50+Z51+Z52+Z53+Z54</f>
        <v>266033.625</v>
      </c>
      <c r="AA58" s="109" t="n">
        <f aca="false">AA47+AA48+AA49+AA50+AA51+AA52+AA53+AA54</f>
        <v>292636.9875</v>
      </c>
      <c r="AB58" s="109" t="n">
        <f aca="false">AB47+AB48+AB49+AB50+AB51+AB52+AB53+AB54</f>
        <v>292636.9875</v>
      </c>
      <c r="AC58" s="109" t="n">
        <f aca="false">AC47+AC48+AC49+AC50+AC51+AC52+AC53+AC54</f>
        <v>292636.9875</v>
      </c>
    </row>
    <row r="59" customFormat="false" ht="15" hidden="false" customHeight="true" outlineLevel="0" collapsed="false">
      <c r="A59" s="114" t="s">
        <v>453</v>
      </c>
      <c r="B59" s="17"/>
      <c r="C59" s="18"/>
      <c r="D59" s="16"/>
      <c r="E59" s="109" t="n">
        <f aca="false">E36+E37+E38+E39+E40+E41+E42+E43+E44+E45+E46</f>
        <v>8666.66666666667</v>
      </c>
      <c r="F59" s="109" t="n">
        <f aca="false">F36+F37+F38+F39+F40+F41+F42+F43+F44+F45+F46</f>
        <v>8666.66666666667</v>
      </c>
      <c r="G59" s="110" t="n">
        <f aca="false">G36+G37+G38+G39+G40+G41+G42+G43+G44+G45+G46</f>
        <v>8666.66666666667</v>
      </c>
      <c r="H59" s="109" t="n">
        <f aca="false">H36+H37+H38+H39+H40+H41+H42+H43+H44+H45+H46</f>
        <v>39000</v>
      </c>
      <c r="I59" s="109" t="n">
        <f aca="false">I36+I37+I38+I39+I40+I41+I42+I43+I44+I45+I46</f>
        <v>39000</v>
      </c>
      <c r="J59" s="109" t="n">
        <f aca="false">J36+J37+J38+J39+J40+J41+J42+J43+J44+J45+J46</f>
        <v>39000</v>
      </c>
      <c r="K59" s="109" t="n">
        <f aca="false">K36+K37+K38+K39+K40+K41+K42+K43+K44+K45+K46</f>
        <v>39000</v>
      </c>
      <c r="L59" s="109" t="n">
        <f aca="false">L36+L37+L38+L39+L40+L41+L42+L43+L44+L45+L46</f>
        <v>39000</v>
      </c>
      <c r="M59" s="109" t="n">
        <f aca="false">M36+M37+M38+M39+M40+M41+M42+M43+M44+M45+M46</f>
        <v>39000</v>
      </c>
      <c r="N59" s="109" t="n">
        <f aca="false">N36+N37+N38+N39+N40+N41+N42+N43+N44+N45+N46</f>
        <v>217750</v>
      </c>
      <c r="O59" s="109" t="n">
        <f aca="false">O36+O37+O38+O39+O40+O41+O42+O43+O44+O45+O46</f>
        <v>239525</v>
      </c>
      <c r="P59" s="109" t="n">
        <f aca="false">P36+P37+P38+P39+P40+P41+P42+P43+P44+P45+P46</f>
        <v>239525</v>
      </c>
      <c r="Q59" s="109" t="n">
        <f aca="false">Q36+Q37+Q38+Q39+Q40+Q41+Q42+Q43+Q44+Q45+Q46</f>
        <v>300300</v>
      </c>
      <c r="R59" s="109" t="n">
        <f aca="false">R36+R37+R38+R39+R40+R41+R42+R43+R44+R45+R46</f>
        <v>300300</v>
      </c>
      <c r="S59" s="109" t="n">
        <f aca="false">S36+S37+S38+S39+S40+S41+S42+S43+S44+S45+S46</f>
        <v>330330</v>
      </c>
      <c r="T59" s="109" t="n">
        <f aca="false">T36+T37+T38+T39+T40+T41+T42+T43+T44+T45+T46</f>
        <v>330330</v>
      </c>
      <c r="U59" s="109" t="n">
        <f aca="false">U36+U37+U38+U39+U40+U41+U42+U43+U44+U45+U46</f>
        <v>330330</v>
      </c>
      <c r="V59" s="109" t="n">
        <f aca="false">V36+V37+V38+V39+V40+V41+V42+V43+V44+V45+V46</f>
        <v>330330</v>
      </c>
      <c r="W59" s="109" t="n">
        <f aca="false">W36+W37+W38+W39+W40+W41+W42+W43+W44+W45+W46</f>
        <v>363363</v>
      </c>
      <c r="X59" s="109" t="n">
        <f aca="false">X36+X37+X38+X39+X40+X41+X42+X43+X44+X45+X46</f>
        <v>363363</v>
      </c>
      <c r="Y59" s="109" t="n">
        <f aca="false">Y36+Y37+Y38+Y39+Y40+Y41+Y42+Y43+Y44+Y45+Y46</f>
        <v>363363</v>
      </c>
      <c r="Z59" s="109" t="n">
        <f aca="false">Z36+Z37+Z38+Z39+Z40+Z41+Z42+Z43+Z44+Z45+Z46</f>
        <v>363363</v>
      </c>
      <c r="AA59" s="109" t="n">
        <f aca="false">AA36+AA37+AA38+AA39+AA40+AA41+AA42+AA43+AA44+AA45+AA46</f>
        <v>399699.3</v>
      </c>
      <c r="AB59" s="109" t="n">
        <f aca="false">AB36+AB37+AB38+AB39+AB40+AB41+AB42+AB43+AB44+AB45+AB46</f>
        <v>399699.3</v>
      </c>
      <c r="AC59" s="109" t="n">
        <f aca="false">AC36+AC37+AC38+AC39+AC40+AC41+AC42+AC43+AC44+AC45+AC46</f>
        <v>399699.3</v>
      </c>
    </row>
    <row r="60" customFormat="false" ht="15" hidden="false" customHeight="true" outlineLevel="0" collapsed="false">
      <c r="A60" s="114" t="s">
        <v>454</v>
      </c>
      <c r="B60" s="17"/>
      <c r="C60" s="18"/>
      <c r="D60" s="16"/>
      <c r="E60" s="109" t="n">
        <f aca="false">E33+E34+E35+E55</f>
        <v>22750</v>
      </c>
      <c r="F60" s="109" t="n">
        <f aca="false">F33+F34+F35+F55</f>
        <v>22750</v>
      </c>
      <c r="G60" s="109" t="n">
        <f aca="false">G33+G34+G35+G55</f>
        <v>22750</v>
      </c>
      <c r="H60" s="109" t="n">
        <f aca="false">H33+H34+H35+H55</f>
        <v>22750</v>
      </c>
      <c r="I60" s="109" t="n">
        <f aca="false">I33+I34+I35+I55</f>
        <v>22750</v>
      </c>
      <c r="J60" s="109" t="n">
        <f aca="false">J33+J34+J35+J55</f>
        <v>22750</v>
      </c>
      <c r="K60" s="109" t="n">
        <f aca="false">K33+K34+K35+K55</f>
        <v>22750</v>
      </c>
      <c r="L60" s="109" t="n">
        <f aca="false">L33+L34+L35+L55</f>
        <v>22750</v>
      </c>
      <c r="M60" s="109" t="n">
        <f aca="false">M33+M34+M35+M55</f>
        <v>22750</v>
      </c>
      <c r="N60" s="109" t="n">
        <f aca="false">N33+N34+N35+N55</f>
        <v>68250</v>
      </c>
      <c r="O60" s="109" t="n">
        <f aca="false">O33+O34+O35+O55</f>
        <v>75075</v>
      </c>
      <c r="P60" s="109" t="n">
        <f aca="false">P33+P34+P35+P55</f>
        <v>75075</v>
      </c>
      <c r="Q60" s="109" t="n">
        <f aca="false">Q33+Q34+Q35+Q55</f>
        <v>103675</v>
      </c>
      <c r="R60" s="109" t="n">
        <f aca="false">R33+R34+R35+R55</f>
        <v>103675</v>
      </c>
      <c r="S60" s="109" t="n">
        <f aca="false">S33+S34+S35+S55</f>
        <v>114042.5</v>
      </c>
      <c r="T60" s="109" t="n">
        <f aca="false">T33+T34+T35+T55</f>
        <v>114042.5</v>
      </c>
      <c r="U60" s="109" t="n">
        <f aca="false">U33+U34+U35+U55</f>
        <v>114042.5</v>
      </c>
      <c r="V60" s="109" t="n">
        <f aca="false">V33+V34+V35+V55</f>
        <v>114042.5</v>
      </c>
      <c r="W60" s="109" t="n">
        <f aca="false">W33+W34+W35+W55</f>
        <v>125446.75</v>
      </c>
      <c r="X60" s="109" t="n">
        <f aca="false">X33+X34+X35+X55</f>
        <v>125446.75</v>
      </c>
      <c r="Y60" s="109" t="n">
        <f aca="false">Y33+Y34+Y35+Y55</f>
        <v>125446.75</v>
      </c>
      <c r="Z60" s="109" t="n">
        <f aca="false">Z33+Z34+Z35+Z55</f>
        <v>125446.75</v>
      </c>
      <c r="AA60" s="109" t="n">
        <f aca="false">AA33+AA34+AA35+AA55</f>
        <v>137991.425</v>
      </c>
      <c r="AB60" s="109" t="n">
        <f aca="false">AB33+AB34+AB35+AB55</f>
        <v>137991.425</v>
      </c>
      <c r="AC60" s="109" t="n">
        <f aca="false">AC33+AC34+AC35+AC55</f>
        <v>137991.425</v>
      </c>
    </row>
    <row r="61" customFormat="false" ht="15" hidden="false" customHeight="true" outlineLevel="0" collapsed="false">
      <c r="A61" s="115" t="s">
        <v>455</v>
      </c>
      <c r="B61" s="87"/>
      <c r="C61" s="88"/>
      <c r="D61" s="89"/>
      <c r="E61" s="89" t="n">
        <f aca="false">E58+E59+E60</f>
        <v>31416.6666666667</v>
      </c>
      <c r="F61" s="89" t="n">
        <f aca="false">F58+F59+F60</f>
        <v>31416.6666666667</v>
      </c>
      <c r="G61" s="89" t="n">
        <f aca="false">G58+G59+G60</f>
        <v>31416.6666666667</v>
      </c>
      <c r="H61" s="89" t="n">
        <f aca="false">H58+H59+H60</f>
        <v>70416.6666666667</v>
      </c>
      <c r="I61" s="89" t="n">
        <f aca="false">I58+I59+I60</f>
        <v>70416.6666666667</v>
      </c>
      <c r="J61" s="89" t="n">
        <f aca="false">J58+J59+J60</f>
        <v>70416.6666666667</v>
      </c>
      <c r="K61" s="89" t="n">
        <f aca="false">K58+K59+K60</f>
        <v>70416.6666666667</v>
      </c>
      <c r="L61" s="89" t="n">
        <f aca="false">L58+L59+L60</f>
        <v>70416.6666666667</v>
      </c>
      <c r="M61" s="89" t="n">
        <f aca="false">M58+M59+M60</f>
        <v>70416.6666666667</v>
      </c>
      <c r="N61" s="89" t="n">
        <f aca="false">N58+N59+N60</f>
        <v>338000</v>
      </c>
      <c r="O61" s="89" t="n">
        <f aca="false">O58+O59+O60</f>
        <v>371800</v>
      </c>
      <c r="P61" s="89" t="n">
        <f aca="false">P58+P59+P60</f>
        <v>400400</v>
      </c>
      <c r="Q61" s="89" t="n">
        <f aca="false">Q58+Q59+Q60</f>
        <v>538037.5</v>
      </c>
      <c r="R61" s="89" t="n">
        <f aca="false">R58+R59+R60</f>
        <v>538037.5</v>
      </c>
      <c r="S61" s="89" t="n">
        <f aca="false">S58+S59+S60</f>
        <v>623301.25</v>
      </c>
      <c r="T61" s="89" t="n">
        <f aca="false">T58+T59+T60</f>
        <v>654761.25</v>
      </c>
      <c r="U61" s="89" t="n">
        <f aca="false">U58+U59+U60</f>
        <v>686221.25</v>
      </c>
      <c r="V61" s="89" t="n">
        <f aca="false">V58+V59+V60</f>
        <v>686221.25</v>
      </c>
      <c r="W61" s="89" t="n">
        <f aca="false">W58+W59+W60</f>
        <v>754843.375</v>
      </c>
      <c r="X61" s="89" t="n">
        <f aca="false">X58+X59+X60</f>
        <v>754843.375</v>
      </c>
      <c r="Y61" s="89" t="n">
        <f aca="false">Y58+Y59+Y60</f>
        <v>754843.375</v>
      </c>
      <c r="Z61" s="89" t="n">
        <f aca="false">Z58+Z59+Z60</f>
        <v>754843.375</v>
      </c>
      <c r="AA61" s="89" t="n">
        <f aca="false">AA58+AA59+AA60</f>
        <v>830327.7125</v>
      </c>
      <c r="AB61" s="89" t="n">
        <f aca="false">AB58+AB59+AB60</f>
        <v>830327.7125</v>
      </c>
      <c r="AC61" s="89" t="n">
        <f aca="false">AC58+AC59+AC60</f>
        <v>830327.7125</v>
      </c>
    </row>
    <row r="63" customFormat="false" ht="15" hidden="false" customHeight="true" outlineLevel="0" collapsed="false">
      <c r="A63" s="114" t="s">
        <v>456</v>
      </c>
      <c r="B63" s="17"/>
      <c r="C63" s="18"/>
      <c r="D63" s="16"/>
      <c r="E63" s="17" t="n">
        <f aca="false">E21+E22+E23+E24+E25+E26+E27</f>
        <v>0</v>
      </c>
      <c r="F63" s="17" t="n">
        <f aca="false">F21+F22+F23+F24+F25+F26+F27</f>
        <v>0</v>
      </c>
      <c r="G63" s="116" t="n">
        <f aca="false">G21+G22+G23+G24+G25+G26+G27</f>
        <v>0</v>
      </c>
      <c r="H63" s="17" t="n">
        <f aca="false">H21+H22+H23+H24+H25+H26+H27</f>
        <v>1</v>
      </c>
      <c r="I63" s="17" t="n">
        <f aca="false">I21+I22+I23+I24+I25+I26+I27</f>
        <v>1</v>
      </c>
      <c r="J63" s="17" t="n">
        <f aca="false">J21+J22+J23+J24+J25+J26+J27</f>
        <v>1</v>
      </c>
      <c r="K63" s="17" t="n">
        <f aca="false">K21+K22+K23+K24+K25+K26+K27</f>
        <v>1</v>
      </c>
      <c r="L63" s="17" t="n">
        <f aca="false">L21+L22+L23+L24+L25+L26+L27</f>
        <v>1</v>
      </c>
      <c r="M63" s="17" t="n">
        <f aca="false">M21+M22+M23+M24+M25+M26+M27</f>
        <v>1</v>
      </c>
      <c r="N63" s="17" t="n">
        <f aca="false">N21+N22+N23+N24+N25+N26+N27</f>
        <v>2</v>
      </c>
      <c r="O63" s="17" t="n">
        <f aca="false">O21+O22+O23+O24+O25+O26+O27</f>
        <v>2</v>
      </c>
      <c r="P63" s="17" t="n">
        <f aca="false">P21+P22+P23+P24+P25+P26+P27</f>
        <v>3</v>
      </c>
      <c r="Q63" s="17" t="n">
        <f aca="false">Q21+Q22+Q23+Q24+Q25+Q26+Q27</f>
        <v>4</v>
      </c>
      <c r="R63" s="17" t="n">
        <f aca="false">R21+R22+R23+R24+R25+R26+R27</f>
        <v>4</v>
      </c>
      <c r="S63" s="17" t="n">
        <f aca="false">S21+S22+S23+S24+S25+S26+S27</f>
        <v>5</v>
      </c>
      <c r="T63" s="17" t="n">
        <f aca="false">T21+T22+T23+T24+T25+T26+T27</f>
        <v>6</v>
      </c>
      <c r="U63" s="17" t="n">
        <f aca="false">U21+U22+U23+U24+U25+U26+U27</f>
        <v>7</v>
      </c>
      <c r="V63" s="17" t="n">
        <f aca="false">V21+V22+V23+V24+V25+V26+V27</f>
        <v>7</v>
      </c>
      <c r="W63" s="17" t="n">
        <f aca="false">W21+W22+W23+W24+W25+W26+W27</f>
        <v>7</v>
      </c>
      <c r="X63" s="17" t="n">
        <f aca="false">X21+X22+X23+X24+X25+X26+X27</f>
        <v>7</v>
      </c>
      <c r="Y63" s="17" t="n">
        <f aca="false">Y21+Y22+Y23+Y24+Y25+Y26+Y27</f>
        <v>7</v>
      </c>
      <c r="Z63" s="17" t="n">
        <f aca="false">Z21+Z22+Z23+Z24+Z25+Z26+Z27</f>
        <v>7</v>
      </c>
      <c r="AA63" s="17" t="n">
        <f aca="false">AA21+AA22+AA23+AA24+AA25+AA26+AA27</f>
        <v>7</v>
      </c>
      <c r="AB63" s="17" t="n">
        <f aca="false">AB21+AB22+AB23+AB24+AB25+AB26+AB27</f>
        <v>7</v>
      </c>
      <c r="AC63" s="17" t="n">
        <f aca="false">AC21+AC22+AC23+AC24+AC25+AC26+AC27</f>
        <v>7</v>
      </c>
    </row>
  </sheetData>
  <mergeCells count="1">
    <mergeCell ref="A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5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G11" activeCellId="0" sqref="G1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3" min="3" style="1" width="8"/>
    <col collapsed="false" customWidth="true" hidden="false" outlineLevel="0" max="29" min="5" style="1" width="14"/>
  </cols>
  <sheetData>
    <row r="1" customFormat="false" ht="15" hidden="false" customHeight="true" outlineLevel="0" collapsed="false">
      <c r="A1" s="117" t="s">
        <v>457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customFormat="false" ht="15" hidden="false" customHeight="true" outlineLevel="0" collapsed="false">
      <c r="E2" s="97" t="s">
        <v>378</v>
      </c>
      <c r="F2" s="97"/>
      <c r="G2" s="97"/>
      <c r="H2" s="97"/>
      <c r="I2" s="97"/>
      <c r="J2" s="97"/>
      <c r="K2" s="97"/>
      <c r="L2" s="97"/>
      <c r="M2" s="97"/>
      <c r="N2" s="97" t="s">
        <v>379</v>
      </c>
      <c r="O2" s="97"/>
      <c r="P2" s="97"/>
      <c r="Q2" s="97"/>
      <c r="R2" s="97" t="s">
        <v>257</v>
      </c>
      <c r="S2" s="97"/>
      <c r="T2" s="97"/>
      <c r="U2" s="97"/>
      <c r="V2" s="97" t="s">
        <v>258</v>
      </c>
      <c r="W2" s="97"/>
      <c r="X2" s="97"/>
      <c r="Y2" s="97"/>
      <c r="Z2" s="97" t="s">
        <v>259</v>
      </c>
      <c r="AA2" s="97"/>
      <c r="AB2" s="97"/>
      <c r="AC2" s="97"/>
    </row>
    <row r="3" customFormat="false" ht="15" hidden="false" customHeight="true" outlineLevel="0" collapsed="false">
      <c r="A3" s="9"/>
      <c r="B3" s="118" t="s">
        <v>260</v>
      </c>
      <c r="C3" s="119" t="s">
        <v>261</v>
      </c>
      <c r="D3" s="9"/>
      <c r="E3" s="120" t="s">
        <v>263</v>
      </c>
      <c r="F3" s="120" t="s">
        <v>264</v>
      </c>
      <c r="G3" s="120" t="s">
        <v>265</v>
      </c>
      <c r="H3" s="120" t="s">
        <v>266</v>
      </c>
      <c r="I3" s="120" t="s">
        <v>267</v>
      </c>
      <c r="J3" s="120" t="s">
        <v>268</v>
      </c>
      <c r="K3" s="120" t="s">
        <v>269</v>
      </c>
      <c r="L3" s="120" t="s">
        <v>270</v>
      </c>
      <c r="M3" s="120" t="s">
        <v>271</v>
      </c>
      <c r="N3" s="120" t="s">
        <v>272</v>
      </c>
      <c r="O3" s="120" t="s">
        <v>273</v>
      </c>
      <c r="P3" s="120" t="s">
        <v>274</v>
      </c>
      <c r="Q3" s="120" t="s">
        <v>275</v>
      </c>
      <c r="R3" s="120" t="s">
        <v>272</v>
      </c>
      <c r="S3" s="120" t="s">
        <v>273</v>
      </c>
      <c r="T3" s="120" t="s">
        <v>274</v>
      </c>
      <c r="U3" s="120" t="s">
        <v>275</v>
      </c>
      <c r="V3" s="120" t="s">
        <v>272</v>
      </c>
      <c r="W3" s="120" t="s">
        <v>273</v>
      </c>
      <c r="X3" s="120" t="s">
        <v>274</v>
      </c>
      <c r="Y3" s="120" t="s">
        <v>275</v>
      </c>
      <c r="Z3" s="120" t="s">
        <v>272</v>
      </c>
      <c r="AA3" s="120" t="s">
        <v>273</v>
      </c>
      <c r="AB3" s="120" t="s">
        <v>274</v>
      </c>
      <c r="AC3" s="120" t="s">
        <v>275</v>
      </c>
    </row>
    <row r="4" customFormat="false" ht="14.25" hidden="false" customHeight="true" outlineLevel="0" collapsed="false">
      <c r="A4" s="121"/>
      <c r="B4" s="122" t="s">
        <v>458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customFormat="false" ht="15" hidden="false" customHeight="true" outlineLevel="0" collapsed="false">
      <c r="B5" s="13" t="s">
        <v>459</v>
      </c>
      <c r="C5" s="1" t="s">
        <v>311</v>
      </c>
      <c r="E5" s="90" t="n">
        <f aca="false">2_Projections!E79</f>
        <v>16667</v>
      </c>
      <c r="F5" s="90" t="n">
        <f aca="false">2_Projections!F79</f>
        <v>16667</v>
      </c>
      <c r="G5" s="90" t="n">
        <f aca="false">2_Projections!G79</f>
        <v>16667</v>
      </c>
      <c r="H5" s="90" t="n">
        <f aca="false">2_Projections!H79</f>
        <v>27280.1087992154</v>
      </c>
      <c r="I5" s="90" t="n">
        <f aca="false">2_Projections!I79</f>
        <v>41998.2613275082</v>
      </c>
      <c r="J5" s="90" t="n">
        <f aca="false">2_Projections!J79</f>
        <v>42800.5860235725</v>
      </c>
      <c r="K5" s="90" t="n">
        <f aca="false">2_Projections!K79</f>
        <v>41059.6160288777</v>
      </c>
      <c r="L5" s="90" t="n">
        <f aca="false">2_Projections!L79</f>
        <v>59914.8253783139</v>
      </c>
      <c r="M5" s="90" t="n">
        <f aca="false">2_Projections!M79</f>
        <v>61188.869126439</v>
      </c>
      <c r="N5" s="90" t="n">
        <f aca="false">2_Projections!N79</f>
        <v>335962.331887516</v>
      </c>
      <c r="O5" s="90" t="n">
        <f aca="false">2_Projections!O79</f>
        <v>452245.191122658</v>
      </c>
      <c r="P5" s="90" t="n">
        <f aca="false">2_Projections!P79</f>
        <v>619626.321027229</v>
      </c>
      <c r="Q5" s="90" t="n">
        <f aca="false">2_Projections!Q79</f>
        <v>848470.408150595</v>
      </c>
      <c r="R5" s="90" t="n">
        <f aca="false">2_Projections!R79</f>
        <v>996285.119691135</v>
      </c>
      <c r="S5" s="90" t="n">
        <f aca="false">2_Projections!S79</f>
        <v>1224555.31596718</v>
      </c>
      <c r="T5" s="90" t="n">
        <f aca="false">2_Projections!T79</f>
        <v>1456896.02542165</v>
      </c>
      <c r="U5" s="90" t="n">
        <f aca="false">2_Projections!U79</f>
        <v>1734527.74123345</v>
      </c>
      <c r="V5" s="90" t="n">
        <f aca="false">2_Projections!V79</f>
        <v>1922114.7795407</v>
      </c>
      <c r="W5" s="90" t="n">
        <f aca="false">2_Projections!W79</f>
        <v>2126331.87059798</v>
      </c>
      <c r="X5" s="90" t="n">
        <f aca="false">2_Projections!X79</f>
        <v>2253556.12274437</v>
      </c>
      <c r="Y5" s="90" t="n">
        <f aca="false">2_Projections!Y79</f>
        <v>2404431.09105818</v>
      </c>
      <c r="Z5" s="90" t="n">
        <f aca="false">2_Projections!Z79</f>
        <v>2538088.10192722</v>
      </c>
      <c r="AA5" s="90" t="n">
        <f aca="false">2_Projections!AA79</f>
        <v>2659421.70736096</v>
      </c>
      <c r="AB5" s="90" t="n">
        <f aca="false">2_Projections!AB79</f>
        <v>2744674.29778485</v>
      </c>
      <c r="AC5" s="90" t="n">
        <f aca="false">2_Projections!AC79</f>
        <v>2824536.41350218</v>
      </c>
    </row>
    <row r="6" customFormat="false" ht="15" hidden="false" customHeight="true" outlineLevel="0" collapsed="false">
      <c r="A6" s="21"/>
      <c r="B6" s="22" t="s">
        <v>460</v>
      </c>
      <c r="C6" s="23" t="s">
        <v>277</v>
      </c>
      <c r="D6" s="21"/>
      <c r="E6" s="82" t="n">
        <f aca="false">2_Projections!E21</f>
        <v>0</v>
      </c>
      <c r="F6" s="82" t="n">
        <f aca="false">2_Projections!F21</f>
        <v>1</v>
      </c>
      <c r="G6" s="82" t="n">
        <f aca="false">2_Projections!G21</f>
        <v>2</v>
      </c>
      <c r="H6" s="82" t="n">
        <f aca="false">2_Projections!H21</f>
        <v>2</v>
      </c>
      <c r="I6" s="82" t="n">
        <f aca="false">2_Projections!I21</f>
        <v>4</v>
      </c>
      <c r="J6" s="82" t="n">
        <f aca="false">2_Projections!J21</f>
        <v>3</v>
      </c>
      <c r="K6" s="82" t="n">
        <f aca="false">2_Projections!K21</f>
        <v>1</v>
      </c>
      <c r="L6" s="82" t="n">
        <f aca="false">2_Projections!L21</f>
        <v>4</v>
      </c>
      <c r="M6" s="82" t="n">
        <f aca="false">2_Projections!M21</f>
        <v>3</v>
      </c>
      <c r="N6" s="82" t="n">
        <f aca="false">2_Projections!N21</f>
        <v>14</v>
      </c>
      <c r="O6" s="82" t="n">
        <f aca="false">2_Projections!O21</f>
        <v>14</v>
      </c>
      <c r="P6" s="82" t="n">
        <f aca="false">2_Projections!P21</f>
        <v>19</v>
      </c>
      <c r="Q6" s="82" t="n">
        <f aca="false">2_Projections!Q21</f>
        <v>23</v>
      </c>
      <c r="R6" s="82" t="n">
        <f aca="false">2_Projections!R21</f>
        <v>23</v>
      </c>
      <c r="S6" s="82" t="n">
        <f aca="false">2_Projections!S21</f>
        <v>28</v>
      </c>
      <c r="T6" s="82" t="n">
        <f aca="false">2_Projections!T21</f>
        <v>32</v>
      </c>
      <c r="U6" s="82" t="n">
        <f aca="false">2_Projections!U21</f>
        <v>38</v>
      </c>
      <c r="V6" s="82" t="n">
        <f aca="false">2_Projections!V21</f>
        <v>38</v>
      </c>
      <c r="W6" s="82" t="n">
        <f aca="false">2_Projections!W21</f>
        <v>39</v>
      </c>
      <c r="X6" s="82" t="n">
        <f aca="false">2_Projections!X21</f>
        <v>36</v>
      </c>
      <c r="Y6" s="82" t="n">
        <f aca="false">2_Projections!Y21</f>
        <v>38</v>
      </c>
      <c r="Z6" s="82" t="n">
        <f aca="false">2_Projections!Z21</f>
        <v>38</v>
      </c>
      <c r="AA6" s="82" t="n">
        <f aca="false">2_Projections!AA21</f>
        <v>37</v>
      </c>
      <c r="AB6" s="82" t="n">
        <f aca="false">2_Projections!AB21</f>
        <v>38</v>
      </c>
      <c r="AC6" s="82" t="n">
        <f aca="false">2_Projections!AC21</f>
        <v>38</v>
      </c>
    </row>
    <row r="7" customFormat="false" ht="15" hidden="false" customHeight="true" outlineLevel="0" collapsed="false">
      <c r="A7" s="16"/>
      <c r="B7" s="17" t="s">
        <v>461</v>
      </c>
      <c r="C7" s="18" t="s">
        <v>277</v>
      </c>
      <c r="D7" s="16"/>
      <c r="E7" s="17" t="n">
        <f aca="false">2_Projections!E27</f>
        <v>7</v>
      </c>
      <c r="F7" s="17" t="n">
        <f aca="false">2_Projections!F27</f>
        <v>8</v>
      </c>
      <c r="G7" s="17" t="n">
        <f aca="false">2_Projections!G27</f>
        <v>10</v>
      </c>
      <c r="H7" s="17" t="n">
        <f aca="false">2_Projections!H27</f>
        <v>12</v>
      </c>
      <c r="I7" s="17" t="n">
        <f aca="false">2_Projections!I27</f>
        <v>16</v>
      </c>
      <c r="J7" s="17" t="n">
        <f aca="false">2_Projections!J27</f>
        <v>19</v>
      </c>
      <c r="K7" s="17" t="n">
        <f aca="false">2_Projections!K27</f>
        <v>20</v>
      </c>
      <c r="L7" s="17" t="n">
        <f aca="false">2_Projections!L27</f>
        <v>24</v>
      </c>
      <c r="M7" s="17" t="n">
        <f aca="false">2_Projections!M27</f>
        <v>27</v>
      </c>
      <c r="N7" s="17" t="n">
        <f aca="false">2_Projections!N27</f>
        <v>40</v>
      </c>
      <c r="O7" s="17" t="n">
        <f aca="false">2_Projections!O27</f>
        <v>51</v>
      </c>
      <c r="P7" s="17" t="n">
        <f aca="false">2_Projections!P27</f>
        <v>67</v>
      </c>
      <c r="Q7" s="17" t="n">
        <f aca="false">2_Projections!Q27</f>
        <v>86</v>
      </c>
      <c r="R7" s="17" t="n">
        <f aca="false">2_Projections!R27</f>
        <v>104</v>
      </c>
      <c r="S7" s="17" t="n">
        <f aca="false">2_Projections!S27</f>
        <v>127</v>
      </c>
      <c r="T7" s="17" t="n">
        <f aca="false">2_Projections!T27</f>
        <v>152</v>
      </c>
      <c r="U7" s="17" t="n">
        <f aca="false">2_Projections!U27</f>
        <v>182</v>
      </c>
      <c r="V7" s="17" t="n">
        <f aca="false">2_Projections!V27</f>
        <v>209</v>
      </c>
      <c r="W7" s="17" t="n">
        <f aca="false">2_Projections!W27</f>
        <v>236</v>
      </c>
      <c r="X7" s="17" t="n">
        <f aca="false">2_Projections!X27</f>
        <v>259</v>
      </c>
      <c r="Y7" s="17" t="n">
        <f aca="false">2_Projections!Y27</f>
        <v>282</v>
      </c>
      <c r="Z7" s="17" t="n">
        <f aca="false">2_Projections!Z27</f>
        <v>304</v>
      </c>
      <c r="AA7" s="17" t="n">
        <f aca="false">2_Projections!AA27</f>
        <v>324</v>
      </c>
      <c r="AB7" s="17" t="n">
        <f aca="false">2_Projections!AB27</f>
        <v>344</v>
      </c>
      <c r="AC7" s="17" t="n">
        <f aca="false">2_Projections!AC27</f>
        <v>363</v>
      </c>
    </row>
    <row r="8" customFormat="false" ht="15" hidden="false" customHeight="true" outlineLevel="0" collapsed="false">
      <c r="A8" s="21"/>
      <c r="B8" s="22" t="s">
        <v>462</v>
      </c>
      <c r="C8" s="23" t="s">
        <v>311</v>
      </c>
      <c r="D8" s="21"/>
      <c r="E8" s="82" t="n">
        <f aca="false">2_Projections!E50+2_Projections!E56</f>
        <v>12616.08</v>
      </c>
      <c r="F8" s="82" t="n">
        <f aca="false">2_Projections!F50+2_Projections!F56</f>
        <v>13963.66</v>
      </c>
      <c r="G8" s="82" t="n">
        <f aca="false">2_Projections!G50+2_Projections!G56</f>
        <v>21838.754</v>
      </c>
      <c r="H8" s="82" t="n">
        <f aca="false">2_Projections!H50+2_Projections!H56</f>
        <v>31083.68204055</v>
      </c>
      <c r="I8" s="82" t="n">
        <f aca="false">2_Projections!I50+2_Projections!I56</f>
        <v>53762.3148421638</v>
      </c>
      <c r="J8" s="82" t="n">
        <f aca="false">2_Projections!J50+2_Projections!J56</f>
        <v>65232.8165093661</v>
      </c>
      <c r="K8" s="82" t="n">
        <f aca="false">2_Projections!K50+2_Projections!K56</f>
        <v>69559.2672149211</v>
      </c>
      <c r="L8" s="82" t="n">
        <f aca="false">2_Projections!L50+2_Projections!L56</f>
        <v>96465.115477398</v>
      </c>
      <c r="M8" s="82" t="n">
        <f aca="false">2_Projections!M50+2_Projections!M56</f>
        <v>110301.191811013</v>
      </c>
      <c r="N8" s="82" t="n">
        <f aca="false">2_Projections!N50+2_Projections!N56</f>
        <v>593006.44253825</v>
      </c>
      <c r="O8" s="82" t="n">
        <f aca="false">2_Projections!O50+2_Projections!O56</f>
        <v>877995.90526963</v>
      </c>
      <c r="P8" s="82" t="n">
        <f aca="false">2_Projections!P50+2_Projections!P56</f>
        <v>1233677.07449205</v>
      </c>
      <c r="Q8" s="82" t="n">
        <f aca="false">2_Projections!Q50+2_Projections!Q56</f>
        <v>1706660.45529911</v>
      </c>
      <c r="R8" s="82" t="n">
        <f aca="false">2_Projections!R50+2_Projections!R56</f>
        <v>2141241.89090837</v>
      </c>
      <c r="S8" s="82" t="n">
        <f aca="false">2_Projections!S50+2_Projections!S56</f>
        <v>2669540.31489759</v>
      </c>
      <c r="T8" s="82" t="n">
        <f aca="false">2_Projections!T50+2_Projections!T56</f>
        <v>3272430.61075506</v>
      </c>
      <c r="U8" s="82" t="n">
        <f aca="false">2_Projections!U50+2_Projections!U56</f>
        <v>4026212.0878649</v>
      </c>
      <c r="V8" s="82" t="n">
        <f aca="false">2_Projections!V50+2_Projections!V56</f>
        <v>4695492.44198637</v>
      </c>
      <c r="W8" s="82" t="n">
        <f aca="false">2_Projections!W50+2_Projections!W56</f>
        <v>5376205.12960058</v>
      </c>
      <c r="X8" s="82" t="n">
        <f aca="false">2_Projections!X50+2_Projections!X56</f>
        <v>5963304.13252323</v>
      </c>
      <c r="Y8" s="82" t="n">
        <f aca="false">2_Projections!Y50+2_Projections!Y56</f>
        <v>6611982.68296838</v>
      </c>
      <c r="Z8" s="82" t="n">
        <f aca="false">2_Projections!Z50+2_Projections!Z56</f>
        <v>7264236.65652185</v>
      </c>
      <c r="AA8" s="82" t="n">
        <f aca="false">2_Projections!AA50+2_Projections!AA56</f>
        <v>7838870.80635614</v>
      </c>
      <c r="AB8" s="82" t="n">
        <f aca="false">2_Projections!AB50+2_Projections!AB56</f>
        <v>8388021.36238137</v>
      </c>
      <c r="AC8" s="82" t="n">
        <f aca="false">2_Projections!AC50+2_Projections!AC56</f>
        <v>8960817.38697622</v>
      </c>
    </row>
    <row r="9" customFormat="false" ht="14.25" hidden="false" customHeight="true" outlineLevel="0" collapsed="false">
      <c r="B9" s="1" t="s">
        <v>366</v>
      </c>
      <c r="C9" s="1" t="s">
        <v>311</v>
      </c>
      <c r="E9" s="90" t="n">
        <f aca="false">2_Projections!E68</f>
        <v>13446.08</v>
      </c>
      <c r="F9" s="90" t="n">
        <f aca="false">2_Projections!F68</f>
        <v>18693.66</v>
      </c>
      <c r="G9" s="90" t="n">
        <f aca="false">2_Projections!G68</f>
        <v>33398.754</v>
      </c>
      <c r="H9" s="90" t="n">
        <f aca="false">2_Projections!H68</f>
        <v>47523.68204055</v>
      </c>
      <c r="I9" s="90" t="n">
        <f aca="false">2_Projections!I68</f>
        <v>85709.8148421638</v>
      </c>
      <c r="J9" s="90" t="n">
        <f aca="false">2_Projections!J68</f>
        <v>88404.3954567345</v>
      </c>
      <c r="K9" s="90" t="n">
        <f aca="false">2_Projections!K68</f>
        <v>84503.3461622895</v>
      </c>
      <c r="L9" s="90" t="n">
        <f aca="false">2_Projections!L68</f>
        <v>134666.694424766</v>
      </c>
      <c r="M9" s="90" t="n">
        <f aca="false">2_Projections!M68</f>
        <v>139029.359452338</v>
      </c>
      <c r="N9" s="90" t="n">
        <f aca="false">2_Projections!N68</f>
        <v>757232.885033377</v>
      </c>
      <c r="O9" s="90" t="n">
        <f aca="false">2_Projections!O68</f>
        <v>1077395.97578907</v>
      </c>
      <c r="P9" s="90" t="n">
        <f aca="false">2_Projections!P68</f>
        <v>1489747.87263413</v>
      </c>
      <c r="Q9" s="90" t="n">
        <f aca="false">2_Projections!Q68</f>
        <v>2041165.45185884</v>
      </c>
      <c r="R9" s="90" t="n">
        <f aca="false">2_Projections!R68</f>
        <v>2523578.39909601</v>
      </c>
      <c r="S9" s="90" t="n">
        <f aca="false">2_Projections!S68</f>
        <v>3136879.69790153</v>
      </c>
      <c r="T9" s="90" t="n">
        <f aca="false">2_Projections!T68</f>
        <v>3835407.00129739</v>
      </c>
      <c r="U9" s="90" t="n">
        <f aca="false">2_Projections!U68</f>
        <v>4713723.13021091</v>
      </c>
      <c r="V9" s="90" t="n">
        <f aca="false">2_Projections!V68</f>
        <v>5449511.44715903</v>
      </c>
      <c r="W9" s="90" t="n">
        <f aca="false">2_Projections!W68</f>
        <v>6200994.15199328</v>
      </c>
      <c r="X9" s="90" t="n">
        <f aca="false">2_Projections!X68</f>
        <v>6814362.84940928</v>
      </c>
      <c r="Y9" s="90" t="n">
        <f aca="false">2_Projections!Y68</f>
        <v>7547285.17432298</v>
      </c>
      <c r="Z9" s="90" t="n">
        <f aca="false">2_Projections!Z68</f>
        <v>8262016.27973535</v>
      </c>
      <c r="AA9" s="90" t="n">
        <f aca="false">2_Projections!AA68</f>
        <v>8875442.69947861</v>
      </c>
      <c r="AB9" s="90" t="n">
        <f aca="false">2_Projections!AB68</f>
        <v>9491757.3301349</v>
      </c>
      <c r="AC9" s="90" t="n">
        <f aca="false">2_Projections!AC68</f>
        <v>10127597.7040087</v>
      </c>
    </row>
    <row r="10" customFormat="false" ht="15" hidden="false" customHeight="true" outlineLevel="0" collapsed="false">
      <c r="A10" s="27"/>
      <c r="B10" s="28" t="s">
        <v>344</v>
      </c>
      <c r="C10" s="27" t="s">
        <v>311</v>
      </c>
      <c r="D10" s="27"/>
      <c r="E10" s="123" t="n">
        <f aca="false">2_Projections!E75</f>
        <v>11259.24</v>
      </c>
      <c r="F10" s="123" t="n">
        <f aca="false">2_Projections!F75</f>
        <v>15750.08</v>
      </c>
      <c r="G10" s="123" t="n">
        <f aca="false">2_Projections!G75</f>
        <v>27966.268</v>
      </c>
      <c r="H10" s="123" t="n">
        <f aca="false">2_Projections!H75</f>
        <v>39726.6243566625</v>
      </c>
      <c r="I10" s="123" t="n">
        <f aca="false">2_Projections!I75</f>
        <v>70394.7268028525</v>
      </c>
      <c r="J10" s="123" t="n">
        <f aca="false">2_Projections!J75</f>
        <v>72485.4073042352</v>
      </c>
      <c r="K10" s="123" t="n">
        <f aca="false">2_Projections!K75</f>
        <v>69269.7052698824</v>
      </c>
      <c r="L10" s="123" t="n">
        <f aca="false">2_Projections!L75</f>
        <v>110214.086952119</v>
      </c>
      <c r="M10" s="123" t="n">
        <f aca="false">2_Projections!M75</f>
        <v>113775.791284764</v>
      </c>
      <c r="N10" s="123" t="n">
        <f aca="false">2_Projections!N75</f>
        <v>618420.195334408</v>
      </c>
      <c r="O10" s="123" t="n">
        <f aca="false">2_Projections!O75</f>
        <v>881810.210438179</v>
      </c>
      <c r="P10" s="123" t="n">
        <f aca="false">2_Projections!P75</f>
        <v>1222298.70389682</v>
      </c>
      <c r="Q10" s="123" t="n">
        <f aca="false">2_Projections!Q75</f>
        <v>1676675.18767801</v>
      </c>
      <c r="R10" s="123" t="n">
        <f aca="false">2_Projections!R75</f>
        <v>2071516.66557486</v>
      </c>
      <c r="S10" s="123" t="n">
        <f aca="false">2_Projections!S75</f>
        <v>2576903.75059916</v>
      </c>
      <c r="T10" s="123" t="n">
        <f aca="false">2_Projections!T75</f>
        <v>3150817.42298227</v>
      </c>
      <c r="U10" s="123" t="n">
        <f aca="false">2_Projections!U75</f>
        <v>3872557.42625037</v>
      </c>
      <c r="V10" s="123" t="n">
        <f aca="false">2_Projections!V75</f>
        <v>4478104.16695207</v>
      </c>
      <c r="W10" s="123" t="n">
        <f aca="false">2_Projections!W75</f>
        <v>5097175.22012683</v>
      </c>
      <c r="X10" s="123" t="n">
        <f aca="false">2_Projections!X75</f>
        <v>5603615.2112159</v>
      </c>
      <c r="Y10" s="123" t="n">
        <f aca="false">2_Projections!Y75</f>
        <v>6207446.11492001</v>
      </c>
      <c r="Z10" s="123" t="n">
        <f aca="false">2_Projections!Z75</f>
        <v>6795829.5614936</v>
      </c>
      <c r="AA10" s="123" t="n">
        <f aca="false">2_Projections!AA75</f>
        <v>7302048.57997255</v>
      </c>
      <c r="AB10" s="123" t="n">
        <f aca="false">2_Projections!AB75</f>
        <v>7807549.89314976</v>
      </c>
      <c r="AC10" s="123" t="n">
        <f aca="false">2_Projections!AC75</f>
        <v>8328803.68354108</v>
      </c>
    </row>
    <row r="11" customFormat="false" ht="15" hidden="false" customHeight="true" outlineLevel="0" collapsed="false">
      <c r="A11" s="21"/>
      <c r="B11" s="22" t="s">
        <v>345</v>
      </c>
      <c r="C11" s="23" t="s">
        <v>304</v>
      </c>
      <c r="D11" s="21"/>
      <c r="E11" s="82" t="n">
        <f aca="false">IFERROR(E10/E9,0)</f>
        <v>0.837362264689783</v>
      </c>
      <c r="F11" s="82" t="n">
        <f aca="false">IFERROR(F10/F9,0)</f>
        <v>0.842535918594861</v>
      </c>
      <c r="G11" s="92" t="n">
        <f aca="false">IFERROR(G10/G9,0)</f>
        <v>0.837344650641757</v>
      </c>
      <c r="H11" s="82" t="n">
        <f aca="false">IFERROR(H10/H9,0)</f>
        <v>0.835933215838904</v>
      </c>
      <c r="I11" s="82" t="n">
        <f aca="false">IFERROR(I10/I9,0)</f>
        <v>0.821314652615755</v>
      </c>
      <c r="J11" s="82" t="n">
        <f aca="false">IFERROR(J10/J9,0)</f>
        <v>0.819929902011601</v>
      </c>
      <c r="K11" s="82" t="n">
        <f aca="false">IFERROR(K10/K9,0)</f>
        <v>0.81972736484126</v>
      </c>
      <c r="L11" s="82" t="n">
        <f aca="false">IFERROR(L10/L9,0)</f>
        <v>0.818421269066581</v>
      </c>
      <c r="M11" s="82" t="n">
        <f aca="false">IFERROR(M10/M9,0)</f>
        <v>0.81835801972294</v>
      </c>
      <c r="N11" s="82" t="n">
        <f aca="false">IFERROR(N10/N9,0)</f>
        <v>0.816684282414847</v>
      </c>
      <c r="O11" s="82" t="n">
        <f aca="false">IFERROR(O10/O9,0)</f>
        <v>0.818464362457226</v>
      </c>
      <c r="P11" s="82" t="n">
        <f aca="false">IFERROR(P10/P9,0)</f>
        <v>0.820473535387962</v>
      </c>
      <c r="Q11" s="82" t="n">
        <f aca="false">IFERROR(Q10/Q9,0)</f>
        <v>0.821430318718702</v>
      </c>
      <c r="R11" s="82" t="n">
        <f aca="false">IFERROR(R10/R9,0)</f>
        <v>0.820864795132546</v>
      </c>
      <c r="S11" s="82" t="n">
        <f aca="false">IFERROR(S10/S9,0)</f>
        <v>0.821486317222501</v>
      </c>
      <c r="T11" s="82" t="n">
        <f aca="false">IFERROR(T10/T9,0)</f>
        <v>0.82150797084024</v>
      </c>
      <c r="U11" s="82" t="n">
        <f aca="false">IFERROR(U10/U9,0)</f>
        <v>0.821549615723208</v>
      </c>
      <c r="V11" s="82" t="n">
        <f aca="false">IFERROR(V10/V9,0)</f>
        <v>0.821744152732558</v>
      </c>
      <c r="W11" s="82" t="n">
        <f aca="false">IFERROR(W10/W9,0)</f>
        <v>0.821993231277015</v>
      </c>
      <c r="X11" s="82" t="n">
        <f aca="false">IFERROR(X10/X9,0)</f>
        <v>0.82232416075432</v>
      </c>
      <c r="Y11" s="82" t="n">
        <f aca="false">IFERROR(Y10/Y9,0)</f>
        <v>0.822474038219556</v>
      </c>
      <c r="Z11" s="82" t="n">
        <f aca="false">IFERROR(Z10/Z9,0)</f>
        <v>0.822538873248417</v>
      </c>
      <c r="AA11" s="82" t="n">
        <f aca="false">IFERROR(AA10/AA9,0)</f>
        <v>0.822724998314902</v>
      </c>
      <c r="AB11" s="82" t="n">
        <f aca="false">IFERROR(AB10/AB9,0)</f>
        <v>0.822561051825668</v>
      </c>
      <c r="AC11" s="82" t="n">
        <f aca="false">IFERROR(AC10/AC9,0)</f>
        <v>0.822386900325272</v>
      </c>
    </row>
    <row r="12" customFormat="false" ht="15" hidden="false" customHeight="true" outlineLevel="0" collapsed="false">
      <c r="A12" s="16"/>
      <c r="B12" s="17" t="s">
        <v>352</v>
      </c>
      <c r="C12" s="18" t="s">
        <v>311</v>
      </c>
      <c r="D12" s="16"/>
      <c r="E12" s="84" t="n">
        <f aca="false">2_Projections!E85</f>
        <v>-56824.4266666667</v>
      </c>
      <c r="F12" s="84" t="n">
        <f aca="false">2_Projections!F85</f>
        <v>-52333.5866666667</v>
      </c>
      <c r="G12" s="84" t="n">
        <f aca="false">2_Projections!G85</f>
        <v>-40117.3986666667</v>
      </c>
      <c r="H12" s="84" t="n">
        <f aca="false">2_Projections!H85</f>
        <v>-70108.2963580826</v>
      </c>
      <c r="I12" s="84" t="n">
        <f aca="false">2_Projections!I85</f>
        <v>-70526.1986654608</v>
      </c>
      <c r="J12" s="84" t="n">
        <f aca="false">2_Projections!J85</f>
        <v>-70046.3263970455</v>
      </c>
      <c r="K12" s="84" t="n">
        <f aca="false">2_Projections!K85</f>
        <v>-69500.7791813918</v>
      </c>
      <c r="L12" s="84" t="n">
        <f aca="false">2_Projections!L85</f>
        <v>-68210.2562985596</v>
      </c>
      <c r="M12" s="84" t="n">
        <f aca="false">2_Projections!M85</f>
        <v>-67194.9623241876</v>
      </c>
      <c r="N12" s="84" t="n">
        <f aca="false">2_Projections!N85</f>
        <v>-316531.729033571</v>
      </c>
      <c r="O12" s="84" t="n">
        <f aca="false">2_Projections!O85</f>
        <v>-317190.477639871</v>
      </c>
      <c r="P12" s="84" t="n">
        <f aca="false">2_Projections!P85</f>
        <v>-291274.012043682</v>
      </c>
      <c r="Q12" s="84" t="n">
        <f aca="false">2_Projections!Q85</f>
        <v>-344609.207339414</v>
      </c>
      <c r="R12" s="84" t="n">
        <f aca="false">2_Projections!R85</f>
        <v>-248447.581786819</v>
      </c>
      <c r="S12" s="84" t="n">
        <f aca="false">2_Projections!S85</f>
        <v>-196902.803406667</v>
      </c>
      <c r="T12" s="84" t="n">
        <f aca="false">2_Projections!T85</f>
        <v>-54489.4828804969</v>
      </c>
      <c r="U12" s="84" t="n">
        <f aca="false">2_Projections!U85</f>
        <v>148603.492336672</v>
      </c>
      <c r="V12" s="84" t="n">
        <f aca="false">2_Projections!V85</f>
        <v>391993.275196743</v>
      </c>
      <c r="W12" s="84" t="n">
        <f aca="false">2_Projections!W85</f>
        <v>601065.37342422</v>
      </c>
      <c r="X12" s="84" t="n">
        <f aca="false">2_Projections!X85</f>
        <v>877512.597865717</v>
      </c>
      <c r="Y12" s="84" t="n">
        <f aca="false">2_Projections!Y85</f>
        <v>1209351.29746731</v>
      </c>
      <c r="Z12" s="84" t="n">
        <f aca="false">2_Projections!Z85</f>
        <v>1565727.36830361</v>
      </c>
      <c r="AA12" s="84" t="n">
        <f aca="false">2_Projections!AA85</f>
        <v>1846629.06074425</v>
      </c>
      <c r="AB12" s="84" t="n">
        <f aca="false">2_Projections!AB85</f>
        <v>2226070.31706556</v>
      </c>
      <c r="AC12" s="84" t="n">
        <f aca="false">2_Projections!AC85</f>
        <v>2637229.07311689</v>
      </c>
    </row>
    <row r="13" customFormat="false" ht="15" hidden="false" customHeight="true" outlineLevel="0" collapsed="false">
      <c r="A13" s="21"/>
      <c r="B13" s="22"/>
      <c r="C13" s="23"/>
      <c r="D13" s="21"/>
      <c r="E13" s="82"/>
      <c r="F13" s="82"/>
      <c r="G13" s="9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 customFormat="false" ht="15" hidden="false" customHeight="true" outlineLevel="0" collapsed="false">
      <c r="A14" s="27"/>
      <c r="B14" s="124" t="s">
        <v>463</v>
      </c>
      <c r="C14" s="125"/>
      <c r="D14" s="27"/>
      <c r="E14" s="126"/>
      <c r="F14" s="127"/>
      <c r="G14" s="128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</row>
    <row r="15" customFormat="false" ht="14.25" hidden="false" customHeight="true" outlineLevel="0" collapsed="false">
      <c r="B15" s="1" t="s">
        <v>464</v>
      </c>
      <c r="C15" s="1" t="s">
        <v>311</v>
      </c>
      <c r="E15" s="1" t="str">
        <f aca="false">IFERROR(E5/E6,"N/A")</f>
        <v>N/A</v>
      </c>
      <c r="F15" s="1" t="n">
        <f aca="false">IFERROR(F5/F6,"N/A")</f>
        <v>16667</v>
      </c>
      <c r="G15" s="1" t="n">
        <f aca="false">IFERROR(G5/G6,"N/A")</f>
        <v>8333.5</v>
      </c>
      <c r="H15" s="1" t="n">
        <f aca="false">IFERROR(H5/H6,"N/A")</f>
        <v>13640.0543996077</v>
      </c>
      <c r="I15" s="1" t="n">
        <f aca="false">IFERROR(I5/I6,"N/A")</f>
        <v>10499.565331877</v>
      </c>
      <c r="J15" s="1" t="n">
        <f aca="false">IFERROR(J5/J6,"N/A")</f>
        <v>14266.8620078575</v>
      </c>
      <c r="K15" s="1" t="n">
        <f aca="false">IFERROR(K5/K6,"N/A")</f>
        <v>41059.6160288777</v>
      </c>
      <c r="L15" s="1" t="n">
        <f aca="false">IFERROR(L5/L6,"N/A")</f>
        <v>14978.7063445785</v>
      </c>
      <c r="M15" s="1" t="n">
        <f aca="false">IFERROR(M5/M6,"N/A")</f>
        <v>20396.289708813</v>
      </c>
      <c r="N15" s="1" t="n">
        <f aca="false">IFERROR(N5/N6,"N/A")</f>
        <v>23997.3094205369</v>
      </c>
      <c r="O15" s="1" t="n">
        <f aca="false">IFERROR(O5/O6,"N/A")</f>
        <v>32303.2279373327</v>
      </c>
      <c r="P15" s="1" t="n">
        <f aca="false">IFERROR(P5/P6,"N/A")</f>
        <v>32611.9116330121</v>
      </c>
      <c r="Q15" s="1" t="n">
        <f aca="false">IFERROR(Q5/Q6,"N/A")</f>
        <v>36890.0177456781</v>
      </c>
      <c r="R15" s="1" t="n">
        <f aca="false">IFERROR(R5/R6,"N/A")</f>
        <v>43316.7443343972</v>
      </c>
      <c r="S15" s="1" t="n">
        <f aca="false">IFERROR(S5/S6,"N/A")</f>
        <v>43734.1184273992</v>
      </c>
      <c r="T15" s="1" t="n">
        <f aca="false">IFERROR(T5/T6,"N/A")</f>
        <v>45528.0007944266</v>
      </c>
      <c r="U15" s="1" t="n">
        <f aca="false">IFERROR(U5/U6,"N/A")</f>
        <v>45645.4668745646</v>
      </c>
      <c r="V15" s="1" t="n">
        <f aca="false">IFERROR(V5/V6,"N/A")</f>
        <v>50581.96788265</v>
      </c>
      <c r="W15" s="1" t="n">
        <f aca="false">IFERROR(W5/W6,"N/A")</f>
        <v>54521.3300153329</v>
      </c>
      <c r="X15" s="1" t="n">
        <f aca="false">IFERROR(X5/X6,"N/A")</f>
        <v>62598.7811873437</v>
      </c>
      <c r="Y15" s="1" t="n">
        <f aca="false">IFERROR(Y5/Y6,"N/A")</f>
        <v>63274.5023962678</v>
      </c>
      <c r="Z15" s="1" t="n">
        <f aca="false">IFERROR(Z5/Z6,"N/A")</f>
        <v>66791.7921559795</v>
      </c>
      <c r="AA15" s="1" t="n">
        <f aca="false">IFERROR(AA5/AA6,"N/A")</f>
        <v>71876.2623611071</v>
      </c>
      <c r="AB15" s="1" t="n">
        <f aca="false">IFERROR(AB5/AB6,"N/A")</f>
        <v>72228.2709943381</v>
      </c>
      <c r="AC15" s="1" t="n">
        <f aca="false">IFERROR(AC5/AC6,"N/A")</f>
        <v>74329.9056184785</v>
      </c>
    </row>
    <row r="16" customFormat="false" ht="15" hidden="false" customHeight="true" outlineLevel="0" collapsed="false">
      <c r="A16" s="27"/>
      <c r="B16" s="28" t="s">
        <v>465</v>
      </c>
      <c r="C16" s="27" t="s">
        <v>466</v>
      </c>
      <c r="D16" s="27"/>
      <c r="E16" s="27" t="n">
        <f aca="false">IFERROR(E8*(12/1)/E7,0)</f>
        <v>21627.5657142857</v>
      </c>
      <c r="F16" s="27" t="n">
        <f aca="false">IFERROR(F8*(12/1)/F7,0)</f>
        <v>20945.49</v>
      </c>
      <c r="G16" s="27" t="n">
        <f aca="false">IFERROR(G8*(12/1)/G7,0)</f>
        <v>26206.5048</v>
      </c>
      <c r="H16" s="27" t="n">
        <f aca="false">IFERROR(H8*(12/1)/H7,0)</f>
        <v>31083.68204055</v>
      </c>
      <c r="I16" s="27" t="n">
        <f aca="false">IFERROR(I8*(12/1)/I7,0)</f>
        <v>40321.7361316229</v>
      </c>
      <c r="J16" s="27" t="n">
        <f aca="false">IFERROR(J8*(12/1)/J7,0)</f>
        <v>41199.6735848628</v>
      </c>
      <c r="K16" s="27" t="n">
        <f aca="false">IFERROR(K8*(12/1)/K7,0)</f>
        <v>41735.5603289527</v>
      </c>
      <c r="L16" s="27" t="n">
        <f aca="false">IFERROR(L8*(12/1)/L7,0)</f>
        <v>48232.557738699</v>
      </c>
      <c r="M16" s="27" t="n">
        <f aca="false">IFERROR(M8*(12/1)/M7,0)</f>
        <v>49022.7519160058</v>
      </c>
      <c r="N16" s="27" t="n">
        <f aca="false">IFERROR(N8*(12/3)/N7,0)</f>
        <v>59300.644253825</v>
      </c>
      <c r="O16" s="27" t="n">
        <f aca="false">IFERROR(O8*(12/3)/O7,0)</f>
        <v>68862.4239427161</v>
      </c>
      <c r="P16" s="27" t="n">
        <f aca="false">IFERROR(P8*(12/3)/P7,0)</f>
        <v>73652.3626562421</v>
      </c>
      <c r="Q16" s="27" t="n">
        <f aca="false">IFERROR(Q8*(12/3)/Q7,0)</f>
        <v>79379.5560604239</v>
      </c>
      <c r="R16" s="27" t="n">
        <f aca="false">IFERROR(R8*(12/3)/R7,0)</f>
        <v>82355.4573426296</v>
      </c>
      <c r="S16" s="27" t="n">
        <f aca="false">IFERROR(S8*(12/3)/S7,0)</f>
        <v>84080.0099180344</v>
      </c>
      <c r="T16" s="27" t="n">
        <f aca="false">IFERROR(T8*(12/3)/T7,0)</f>
        <v>86116.59501987</v>
      </c>
      <c r="U16" s="27" t="n">
        <f aca="false">IFERROR(U8*(12/3)/U7,0)</f>
        <v>88488.1777552725</v>
      </c>
      <c r="V16" s="27" t="n">
        <f aca="false">IFERROR(V8*(12/3)/V7,0)</f>
        <v>89865.8840571554</v>
      </c>
      <c r="W16" s="27" t="n">
        <f aca="false">IFERROR(W8*(12/3)/W7,0)</f>
        <v>91122.1208406877</v>
      </c>
      <c r="X16" s="27" t="n">
        <f aca="false">IFERROR(X8*(12/3)/X7,0)</f>
        <v>92097.3611200499</v>
      </c>
      <c r="Y16" s="27" t="n">
        <f aca="false">IFERROR(Y8*(12/3)/Y7,0)</f>
        <v>93786.988410899</v>
      </c>
      <c r="Z16" s="27" t="n">
        <f aca="false">IFERROR(Z8*(12/3)/Z7,0)</f>
        <v>95582.0612700243</v>
      </c>
      <c r="AA16" s="27" t="n">
        <f aca="false">IFERROR(AA8*(12/3)/AA7,0)</f>
        <v>96776.1827945202</v>
      </c>
      <c r="AB16" s="27" t="n">
        <f aca="false">IFERROR(AB8*(12/3)/AB7,0)</f>
        <v>97535.1321207136</v>
      </c>
      <c r="AC16" s="27" t="n">
        <f aca="false">IFERROR(AC8*(12/3)/AC7,0)</f>
        <v>98741.7893881677</v>
      </c>
    </row>
    <row r="17" customFormat="false" ht="15" hidden="false" customHeight="true" outlineLevel="0" collapsed="false">
      <c r="A17" s="21"/>
      <c r="B17" s="22" t="s">
        <v>467</v>
      </c>
      <c r="C17" s="23" t="s">
        <v>304</v>
      </c>
      <c r="D17" s="55"/>
      <c r="E17" s="38" t="n">
        <f aca="false">IFERROR((1-(1-(2_Projections!E24*1_Assumptions!$F$104+2_Projections!E25*1_Assumptions!$F$105+2_Projections!E26*1_Assumptions!$F$106)/MAX(2_Projections!E27,1))^12),0)</f>
        <v>0.248920779842413</v>
      </c>
      <c r="F17" s="38" t="n">
        <f aca="false">IFERROR((1-(1-(2_Projections!F24*1_Assumptions!$F$104+2_Projections!F25*1_Assumptions!$F$105+2_Projections!F26*1_Assumptions!$F$106)/MAX(2_Projections!F27,1))^12),0)</f>
        <v>0.25056743135478</v>
      </c>
      <c r="G17" s="38" t="n">
        <f aca="false">IFERROR((1-(1-(2_Projections!G24*1_Assumptions!$F$104+2_Projections!G25*1_Assumptions!$F$105+2_Projections!G26*1_Assumptions!$F$106)/MAX(2_Projections!G27,1))^12),0)</f>
        <v>0.243629182161746</v>
      </c>
      <c r="H17" s="38" t="n">
        <f aca="false">IFERROR((1-(1-(2_Projections!H24*1_Assumptions!$F$104+2_Projections!H25*1_Assumptions!$F$105+2_Projections!H26*1_Assumptions!$F$106)/MAX(2_Projections!H27,1))^12),0)</f>
        <v>0.238971023879429</v>
      </c>
      <c r="I17" s="38" t="n">
        <f aca="false">IFERROR((1-(1-(2_Projections!I24*1_Assumptions!$F$104+2_Projections!I25*1_Assumptions!$F$105+2_Projections!I26*1_Assumptions!$F$106)/MAX(2_Projections!I27,1))^12),0)</f>
        <v>0.228985000439173</v>
      </c>
      <c r="J17" s="38" t="n">
        <f aca="false">IFERROR((1-(1-(2_Projections!J24*1_Assumptions!$F$104+2_Projections!J25*1_Assumptions!$F$105+2_Projections!J26*1_Assumptions!$F$106)/MAX(2_Projections!J27,1))^12),0)</f>
        <v>0.229327047831518</v>
      </c>
      <c r="K17" s="38" t="n">
        <f aca="false">IFERROR((1-(1-(2_Projections!K24*1_Assumptions!$F$104+2_Projections!K25*1_Assumptions!$F$105+2_Projections!K26*1_Assumptions!$F$106)/MAX(2_Projections!K27,1))^12),0)</f>
        <v>0.230991762135547</v>
      </c>
      <c r="L17" s="38" t="n">
        <f aca="false">IFERROR((1-(1-(2_Projections!L24*1_Assumptions!$F$104+2_Projections!L25*1_Assumptions!$F$105+2_Projections!L26*1_Assumptions!$F$106)/MAX(2_Projections!L27,1))^12),0)</f>
        <v>0.22562972735622</v>
      </c>
      <c r="M17" s="38" t="n">
        <f aca="false">IFERROR((1-(1-(2_Projections!M24*1_Assumptions!$F$104+2_Projections!M25*1_Assumptions!$F$105+2_Projections!M26*1_Assumptions!$F$106)/MAX(2_Projections!M27,1))^12),0)</f>
        <v>0.226244763068696</v>
      </c>
      <c r="N17" s="38" t="n">
        <f aca="false">IFERROR((1-(1-(2_Projections!N24*1_Assumptions!$F$104+2_Projections!N25*1_Assumptions!$F$105+2_Projections!N26*1_Assumptions!$F$106)/MAX(2_Projections!N27,1))^12),0)</f>
        <v>0.218161060664478</v>
      </c>
      <c r="O17" s="38" t="n">
        <f aca="false">IFERROR((1-(1-(2_Projections!O24*1_Assumptions!$F$104+2_Projections!O25*1_Assumptions!$F$105+2_Projections!O26*1_Assumptions!$F$106)/MAX(2_Projections!O27,1))^12),0)</f>
        <v>0.215848311834529</v>
      </c>
      <c r="P17" s="38" t="n">
        <f aca="false">IFERROR((1-(1-(2_Projections!P24*1_Assumptions!$F$104+2_Projections!P25*1_Assumptions!$F$105+2_Projections!P26*1_Assumptions!$F$106)/MAX(2_Projections!P27,1))^12),0)</f>
        <v>0.215139849681207</v>
      </c>
      <c r="Q17" s="38" t="n">
        <f aca="false">IFERROR((1-(1-(2_Projections!Q24*1_Assumptions!$F$104+2_Projections!Q25*1_Assumptions!$F$105+2_Projections!Q26*1_Assumptions!$F$106)/MAX(2_Projections!Q27,1))^12),0)</f>
        <v>0.213381758397747</v>
      </c>
      <c r="R17" s="38" t="n">
        <f aca="false">IFERROR((1-(1-(2_Projections!R24*1_Assumptions!$F$104+2_Projections!R25*1_Assumptions!$F$105+2_Projections!R26*1_Assumptions!$F$106)/MAX(2_Projections!R27,1))^12),0)</f>
        <v>0.211765168763021</v>
      </c>
      <c r="S17" s="38" t="n">
        <f aca="false">IFERROR((1-(1-(2_Projections!S24*1_Assumptions!$F$104+2_Projections!S25*1_Assumptions!$F$105+2_Projections!S26*1_Assumptions!$F$106)/MAX(2_Projections!S27,1))^12),0)</f>
        <v>0.211187891216476</v>
      </c>
      <c r="T17" s="38" t="n">
        <f aca="false">IFERROR((1-(1-(2_Projections!T24*1_Assumptions!$F$104+2_Projections!T25*1_Assumptions!$F$105+2_Projections!T26*1_Assumptions!$F$106)/MAX(2_Projections!T27,1))^12),0)</f>
        <v>0.210401809837895</v>
      </c>
      <c r="U17" s="38" t="n">
        <f aca="false">IFERROR((1-(1-(2_Projections!U24*1_Assumptions!$F$104+2_Projections!U25*1_Assumptions!$F$105+2_Projections!U26*1_Assumptions!$F$106)/MAX(2_Projections!U27,1))^12),0)</f>
        <v>0.209349718421456</v>
      </c>
      <c r="V17" s="38" t="n">
        <f aca="false">IFERROR((1-(1-(2_Projections!V24*1_Assumptions!$F$104+2_Projections!V25*1_Assumptions!$F$105+2_Projections!V26*1_Assumptions!$F$106)/MAX(2_Projections!V27,1))^12),0)</f>
        <v>0.209054101125774</v>
      </c>
      <c r="W17" s="38" t="n">
        <f aca="false">IFERROR((1-(1-(2_Projections!W24*1_Assumptions!$F$104+2_Projections!W25*1_Assumptions!$F$105+2_Projections!W26*1_Assumptions!$F$106)/MAX(2_Projections!W27,1))^12),0)</f>
        <v>0.208826055883615</v>
      </c>
      <c r="X17" s="38" t="n">
        <f aca="false">IFERROR((1-(1-(2_Projections!X24*1_Assumptions!$F$104+2_Projections!X25*1_Assumptions!$F$105+2_Projections!X26*1_Assumptions!$F$106)/MAX(2_Projections!X27,1))^12),0)</f>
        <v>0.208803564675027</v>
      </c>
      <c r="Y17" s="38" t="n">
        <f aca="false">IFERROR((1-(1-(2_Projections!Y24*1_Assumptions!$F$104+2_Projections!Y25*1_Assumptions!$F$105+2_Projections!Y26*1_Assumptions!$F$106)/MAX(2_Projections!Y27,1))^12),0)</f>
        <v>0.208200896215327</v>
      </c>
      <c r="Z17" s="38" t="n">
        <f aca="false">IFERROR((1-(1-(2_Projections!Z24*1_Assumptions!$F$104+2_Projections!Z25*1_Assumptions!$F$105+2_Projections!Z26*1_Assumptions!$F$106)/MAX(2_Projections!Z27,1))^12),0)</f>
        <v>0.207504239104887</v>
      </c>
      <c r="AA17" s="38" t="n">
        <f aca="false">IFERROR((1-(1-(2_Projections!AA24*1_Assumptions!$F$104+2_Projections!AA25*1_Assumptions!$F$105+2_Projections!AA26*1_Assumptions!$F$106)/MAX(2_Projections!AA27,1))^12),0)</f>
        <v>0.207058776780744</v>
      </c>
      <c r="AB17" s="38" t="n">
        <f aca="false">IFERROR((1-(1-(2_Projections!AB24*1_Assumptions!$F$104+2_Projections!AB25*1_Assumptions!$F$105+2_Projections!AB26*1_Assumptions!$F$106)/MAX(2_Projections!AB27,1))^12),0)</f>
        <v>0.206749557944691</v>
      </c>
      <c r="AC17" s="38" t="n">
        <f aca="false">IFERROR((1-(1-(2_Projections!AC24*1_Assumptions!$F$104+2_Projections!AC25*1_Assumptions!$F$105+2_Projections!AC26*1_Assumptions!$F$106)/MAX(2_Projections!AC27,1))^12),0)</f>
        <v>0.206048589110866</v>
      </c>
    </row>
    <row r="18" customFormat="false" ht="15" hidden="false" customHeight="true" outlineLevel="0" collapsed="false">
      <c r="A18" s="16"/>
      <c r="B18" s="17" t="s">
        <v>468</v>
      </c>
      <c r="C18" s="18" t="s">
        <v>311</v>
      </c>
      <c r="D18" s="16"/>
      <c r="E18" s="16" t="n">
        <f aca="false">IFERROR(E16*E11/MAX(E17,0.05),0)</f>
        <v>72754.5021259638</v>
      </c>
      <c r="F18" s="42" t="n">
        <f aca="false">IFERROR(F16*F11/MAX(F17,0.05),0)</f>
        <v>70429.4551057695</v>
      </c>
      <c r="G18" s="129" t="n">
        <f aca="false">IFERROR(G16*G11/MAX(G17,0.05),0)</f>
        <v>90070.8051949579</v>
      </c>
      <c r="H18" s="42" t="n">
        <f aca="false">IFERROR(H16*H11/MAX(H17,0.05),0)</f>
        <v>108732.355356108</v>
      </c>
      <c r="I18" s="42" t="n">
        <f aca="false">IFERROR(I16*I11/MAX(I17,0.05),0)</f>
        <v>144624.462913696</v>
      </c>
      <c r="J18" s="42" t="n">
        <f aca="false">IFERROR(J16*J11/MAX(J17,0.05),0)</f>
        <v>147304.230550967</v>
      </c>
      <c r="K18" s="42" t="n">
        <f aca="false">IFERROR(K16*K11/MAX(K17,0.05),0)</f>
        <v>148108.229368587</v>
      </c>
      <c r="L18" s="42" t="n">
        <f aca="false">IFERROR(L16*L11/MAX(L17,0.05),0)</f>
        <v>174952.793576316</v>
      </c>
      <c r="M18" s="42" t="n">
        <f aca="false">IFERROR(M16*M11/MAX(M17,0.05),0)</f>
        <v>177321.948297076</v>
      </c>
      <c r="N18" s="42" t="n">
        <f aca="false">IFERROR(N16*N11/MAX(N17,0.05),0)</f>
        <v>221991.513754401</v>
      </c>
      <c r="O18" s="42" t="n">
        <f aca="false">IFERROR(O16*O11/MAX(O17,0.05),0)</f>
        <v>261115.963476895</v>
      </c>
      <c r="P18" s="42" t="n">
        <f aca="false">IFERROR(P16*P11/MAX(P17,0.05),0)</f>
        <v>280886.197828007</v>
      </c>
      <c r="Q18" s="42" t="n">
        <f aca="false">IFERROR(Q16*Q11/MAX(Q17,0.05),0)</f>
        <v>305578.014372346</v>
      </c>
      <c r="R18" s="42" t="n">
        <f aca="false">IFERROR(R16*R11/MAX(R17,0.05),0)</f>
        <v>319234.25374669</v>
      </c>
      <c r="S18" s="42" t="n">
        <f aca="false">IFERROR(S16*S11/MAX(S17,0.05),0)</f>
        <v>327057.471438063</v>
      </c>
      <c r="T18" s="42" t="n">
        <f aca="false">IFERROR(T16*T11/MAX(T17,0.05),0)</f>
        <v>336239.832180865</v>
      </c>
      <c r="U18" s="42" t="n">
        <f aca="false">IFERROR(U16*U11/MAX(U17,0.05),0)</f>
        <v>347253.528588651</v>
      </c>
      <c r="V18" s="42" t="n">
        <f aca="false">IFERROR(V16*V11/MAX(V17,0.05),0)</f>
        <v>353242.363371197</v>
      </c>
      <c r="W18" s="42" t="n">
        <f aca="false">IFERROR(W16*W11/MAX(W17,0.05),0)</f>
        <v>358680.176349241</v>
      </c>
      <c r="X18" s="42" t="n">
        <f aca="false">IFERROR(X16*X11/MAX(X17,0.05),0)</f>
        <v>362703.985962125</v>
      </c>
      <c r="Y18" s="42" t="n">
        <f aca="false">IFERROR(Y16*Y11/MAX(Y17,0.05),0)</f>
        <v>370494.865742485</v>
      </c>
      <c r="Z18" s="42" t="n">
        <f aca="false">IFERROR(Z16*Z11/MAX(Z17,0.05),0)</f>
        <v>378883.637842537</v>
      </c>
      <c r="AA18" s="42" t="n">
        <f aca="false">IFERROR(AA16*AA11/MAX(AA17,0.05),0)</f>
        <v>384529.388536158</v>
      </c>
      <c r="AB18" s="42" t="n">
        <f aca="false">IFERROR(AB16*AB11/MAX(AB17,0.05),0)</f>
        <v>388047.266773997</v>
      </c>
      <c r="AC18" s="42" t="n">
        <f aca="false">IFERROR(AC16*AC11/MAX(AC17,0.05),0)</f>
        <v>394100.995585142</v>
      </c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</row>
    <row r="19" customFormat="false" ht="15" hidden="false" customHeight="true" outlineLevel="0" collapsed="false">
      <c r="A19" s="21"/>
      <c r="B19" s="22" t="s">
        <v>469</v>
      </c>
      <c r="C19" s="23" t="s">
        <v>470</v>
      </c>
      <c r="D19" s="55"/>
      <c r="E19" s="55" t="n">
        <f aca="false">IFERROR(E18/E15,0)</f>
        <v>0</v>
      </c>
      <c r="F19" s="130" t="n">
        <f aca="false">IFERROR(F18/F15,0)</f>
        <v>4.22568279269032</v>
      </c>
      <c r="G19" s="130" t="n">
        <f aca="false">IFERROR(G18/G15,0)</f>
        <v>10.8082804577858</v>
      </c>
      <c r="H19" s="130" t="n">
        <f aca="false">IFERROR(H18/H15,0)</f>
        <v>7.97154851224309</v>
      </c>
      <c r="I19" s="130" t="n">
        <f aca="false">IFERROR(I18/I15,0)</f>
        <v>13.7743285881189</v>
      </c>
      <c r="J19" s="130" t="n">
        <f aca="false">IFERROR(J18/J15,0)</f>
        <v>10.3249215188202</v>
      </c>
      <c r="K19" s="130" t="n">
        <f aca="false">IFERROR(K18/K15,0)</f>
        <v>3.60715086240507</v>
      </c>
      <c r="L19" s="130" t="n">
        <f aca="false">IFERROR(L18/L15,0)</f>
        <v>11.6801003739312</v>
      </c>
      <c r="M19" s="130" t="n">
        <f aca="false">IFERROR(M18/M15,0)</f>
        <v>8.69383357603794</v>
      </c>
      <c r="N19" s="130" t="n">
        <f aca="false">IFERROR(N18/N15,0)</f>
        <v>9.25068347722435</v>
      </c>
      <c r="O19" s="130" t="n">
        <f aca="false">IFERROR(O18/O15,0)</f>
        <v>8.08327774498117</v>
      </c>
      <c r="P19" s="130" t="n">
        <f aca="false">IFERROR(P18/P15,0)</f>
        <v>8.61299395720411</v>
      </c>
      <c r="Q19" s="130" t="n">
        <f aca="false">IFERROR(Q18/Q15,0)</f>
        <v>8.28348786598637</v>
      </c>
      <c r="R19" s="130" t="n">
        <f aca="false">IFERROR(R18/R15,0)</f>
        <v>7.36976563340635</v>
      </c>
      <c r="S19" s="130" t="n">
        <f aca="false">IFERROR(S18/S15,0)</f>
        <v>7.47831403029182</v>
      </c>
      <c r="T19" s="130" t="n">
        <f aca="false">IFERROR(T18/T15,0)</f>
        <v>7.38534146709174</v>
      </c>
      <c r="U19" s="130" t="n">
        <f aca="false">IFERROR(U18/U15,0)</f>
        <v>7.60762354655977</v>
      </c>
      <c r="V19" s="130" t="n">
        <f aca="false">IFERROR(V18/V15,0)</f>
        <v>6.98356307905453</v>
      </c>
      <c r="W19" s="130" t="n">
        <f aca="false">IFERROR(W18/W15,0)</f>
        <v>6.57871288628452</v>
      </c>
      <c r="X19" s="130" t="n">
        <f aca="false">IFERROR(X18/X15,0)</f>
        <v>5.79410619635925</v>
      </c>
      <c r="Y19" s="130" t="n">
        <f aca="false">IFERROR(Y18/Y15,0)</f>
        <v>5.85535803066763</v>
      </c>
      <c r="Z19" s="130" t="n">
        <f aca="false">IFERROR(Z18/Z15,0)</f>
        <v>5.67260775033145</v>
      </c>
      <c r="AA19" s="130" t="n">
        <f aca="false">IFERROR(AA18/AA15,0)</f>
        <v>5.34988013990319</v>
      </c>
      <c r="AB19" s="130" t="n">
        <f aca="false">IFERROR(AB18/AB15,0)</f>
        <v>5.37251219545897</v>
      </c>
      <c r="AC19" s="130" t="n">
        <f aca="false">IFERROR(AC18/AC15,0)</f>
        <v>5.30205160770671</v>
      </c>
    </row>
    <row r="20" customFormat="false" ht="15" hidden="false" customHeight="true" outlineLevel="0" collapsed="false">
      <c r="A20" s="16"/>
      <c r="B20" s="17" t="s">
        <v>471</v>
      </c>
      <c r="C20" s="18" t="s">
        <v>472</v>
      </c>
      <c r="D20" s="16"/>
      <c r="E20" s="98" t="n">
        <f aca="false">IFERROR(E15/(E16*E11/12),0)</f>
        <v>0</v>
      </c>
      <c r="F20" s="98" t="n">
        <f aca="false">IFERROR(F15/(F16*F11/12),0)</f>
        <v>11.3333873479825</v>
      </c>
      <c r="G20" s="98" t="n">
        <f aca="false">IFERROR(G15/(G16*G11/12),0)</f>
        <v>4.55717108668489</v>
      </c>
      <c r="H20" s="98" t="n">
        <f aca="false">IFERROR(H15/(H16*H11/12),0)</f>
        <v>6.29931474363158</v>
      </c>
      <c r="I20" s="98" t="n">
        <f aca="false">IFERROR(I15/(I16*I11/12),0)</f>
        <v>3.80455417066611</v>
      </c>
      <c r="J20" s="98" t="n">
        <f aca="false">IFERROR(J15/(J16*J11/12),0)</f>
        <v>5.06803034422183</v>
      </c>
      <c r="K20" s="98" t="n">
        <f aca="false">IFERROR(K15/(K16*K11/12),0)</f>
        <v>14.4019217809951</v>
      </c>
      <c r="L20" s="98" t="n">
        <f aca="false">IFERROR(L15/(L16*L11/12),0)</f>
        <v>4.55342672832573</v>
      </c>
      <c r="M20" s="98" t="n">
        <f aca="false">IFERROR(M15/(M16*M11/12),0)</f>
        <v>6.10086462614008</v>
      </c>
      <c r="N20" s="98" t="n">
        <f aca="false">IFERROR(N15/(N16*N11/12),0)</f>
        <v>5.94607233697493</v>
      </c>
      <c r="O20" s="98" t="n">
        <f aca="false">IFERROR(O15/(O16*O11/12),0)</f>
        <v>6.87772945244463</v>
      </c>
      <c r="P20" s="98" t="n">
        <f aca="false">IFERROR(P15/(P16*P11/12),0)</f>
        <v>6.47599109185815</v>
      </c>
      <c r="Q20" s="98" t="n">
        <f aca="false">IFERROR(Q15/(Q16*Q11/12),0)</f>
        <v>6.78907671260642</v>
      </c>
      <c r="R20" s="98" t="n">
        <f aca="false">IFERROR(R15/(R16*R11/12),0)</f>
        <v>7.68905629056046</v>
      </c>
      <c r="S20" s="98" t="n">
        <f aca="false">IFERROR(S15/(S16*S11/12),0)</f>
        <v>7.59816174422773</v>
      </c>
      <c r="T20" s="98" t="n">
        <f aca="false">IFERROR(T15/(T16*T11/12),0)</f>
        <v>7.72255828501896</v>
      </c>
      <c r="U20" s="98" t="n">
        <f aca="false">IFERROR(U15/(U16*U11/12),0)</f>
        <v>7.53459392329789</v>
      </c>
      <c r="V20" s="98" t="n">
        <f aca="false">IFERROR(V15/(V16*V11/12),0)</f>
        <v>8.21950178336042</v>
      </c>
      <c r="W20" s="98" t="n">
        <f aca="false">IFERROR(W15/(W16*W11/12),0)</f>
        <v>8.73485353301462</v>
      </c>
      <c r="X20" s="98" t="n">
        <f aca="false">IFERROR(X15/(X16*X11/12),0)</f>
        <v>9.91874868635481</v>
      </c>
      <c r="Y20" s="98" t="n">
        <f aca="false">IFERROR(Y15/(Y16*Y11/12),0)</f>
        <v>9.84340141186573</v>
      </c>
      <c r="Z20" s="98" t="n">
        <f aca="false">IFERROR(Z15/(Z16*Z11/12),0)</f>
        <v>10.194631183773</v>
      </c>
      <c r="AA20" s="98" t="n">
        <f aca="false">IFERROR(AA15/(AA16*AA11/12),0)</f>
        <v>10.8328704613322</v>
      </c>
      <c r="AB20" s="98" t="n">
        <f aca="false">IFERROR(AB15/(AB16*AB11/12),0)</f>
        <v>10.8033699025498</v>
      </c>
      <c r="AC20" s="98" t="n">
        <f aca="false">IFERROR(AC15/(AC16*AC11/12),0)</f>
        <v>10.9841802314315</v>
      </c>
    </row>
    <row r="21" customFormat="false" ht="15" hidden="false" customHeight="true" outlineLevel="0" collapsed="false">
      <c r="A21" s="21"/>
      <c r="B21" s="22"/>
      <c r="C21" s="23"/>
      <c r="D21" s="21"/>
      <c r="E21" s="131"/>
      <c r="F21" s="131"/>
      <c r="G21" s="132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</row>
    <row r="22" customFormat="false" ht="14.25" hidden="false" customHeight="true" outlineLevel="0" collapsed="false">
      <c r="A22" s="121"/>
      <c r="B22" s="122" t="s">
        <v>473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</row>
    <row r="23" customFormat="false" ht="15" hidden="false" customHeight="true" outlineLevel="0" collapsed="false">
      <c r="A23" s="27"/>
      <c r="B23" s="28" t="s">
        <v>474</v>
      </c>
      <c r="C23" s="27" t="s">
        <v>470</v>
      </c>
      <c r="D23" s="27"/>
      <c r="E23" s="27"/>
      <c r="F23" s="27" t="n">
        <f aca="false">IFERROR(IF(3_CashFlow!F26&lt;0,-3_CashFlow!F26/MAX(2_Projections!F66-2_Projections!E66,1),0),0)</f>
        <v>3.51397979258292</v>
      </c>
      <c r="G23" s="27" t="n">
        <f aca="false">IFERROR(IF(3_CashFlow!G26&lt;0,-3_CashFlow!G26/MAX(2_Projections!G66-2_Projections!F66,1),0),0)</f>
        <v>0.553787957606884</v>
      </c>
      <c r="H23" s="27" t="n">
        <f aca="false">IFERROR(IF(3_CashFlow!H26&lt;0,-3_CashFlow!H26/MAX(2_Projections!H66-2_Projections!G66,1),0),0)</f>
        <v>0.737960068083221</v>
      </c>
      <c r="I23" s="27" t="n">
        <f aca="false">IFERROR(IF(3_CashFlow!I26&lt;0,-3_CashFlow!I26/MAX(2_Projections!I66-2_Projections!H66,1),0),0)</f>
        <v>0.371841569980833</v>
      </c>
      <c r="J23" s="27" t="n">
        <f aca="false">IFERROR(IF(3_CashFlow!J26&lt;0,-3_CashFlow!J26/MAX(2_Projections!J66-2_Projections!I66,1),0),0)</f>
        <v>0.524076227522305</v>
      </c>
      <c r="K23" s="27" t="n">
        <f aca="false">IFERROR(IF(3_CashFlow!K26&lt;0,-3_CashFlow!K26/MAX(2_Projections!K66-2_Projections!J66,1),0),0)</f>
        <v>1.2767408679423</v>
      </c>
      <c r="L23" s="27" t="n">
        <f aca="false">IFERROR(IF(3_CashFlow!L26&lt;0,-3_CashFlow!L26/MAX(2_Projections!L66-2_Projections!K66,1),0),0)</f>
        <v>0.338075935870741</v>
      </c>
      <c r="M23" s="27" t="n">
        <f aca="false">IFERROR(IF(3_CashFlow!M26&lt;0,-3_CashFlow!M26/MAX(2_Projections!M66-2_Projections!L66,1),0),0)</f>
        <v>0.426160476850223</v>
      </c>
      <c r="N23" s="27" t="n">
        <f aca="false">IFERROR(IF(3_CashFlow!N26&lt;0,-3_CashFlow!N26/MAX(2_Projections!N66-2_Projections!M66,1),0),0)</f>
        <v>0.390014813054429</v>
      </c>
      <c r="O23" s="27" t="n">
        <f aca="false">IFERROR(IF(3_CashFlow!O26&lt;0,-3_CashFlow!O26/MAX(2_Projections!O66-2_Projections!N66,1),0),0)</f>
        <v>0.35526502055521</v>
      </c>
      <c r="P23" s="27" t="n">
        <f aca="false">IFERROR(IF(3_CashFlow!P26&lt;0,-3_CashFlow!P26/MAX(2_Projections!P66-2_Projections!O66,1),0),0)</f>
        <v>0.284503518568883</v>
      </c>
      <c r="Q23" s="27" t="n">
        <f aca="false">IFERROR(IF(3_CashFlow!Q26&lt;0,-3_CashFlow!Q26/MAX(2_Projections!Q66-2_Projections!P66,1),0),0)</f>
        <v>0.262201620287392</v>
      </c>
      <c r="R23" s="27" t="n">
        <f aca="false">IFERROR(IF(3_CashFlow!R26&lt;0,-3_CashFlow!R26/MAX(2_Projections!R66-2_Projections!Q66,1),0),0)</f>
        <v>0.218636472137617</v>
      </c>
      <c r="S23" s="27" t="n">
        <f aca="false">IFERROR(IF(3_CashFlow!S26&lt;0,-3_CashFlow!S26/MAX(2_Projections!S66-2_Projections!R66,1),0),0)</f>
        <v>0.172897148889132</v>
      </c>
      <c r="T23" s="27" t="n">
        <f aca="false">IFERROR(IF(3_CashFlow!T26&lt;0,-3_CashFlow!T26/MAX(2_Projections!T66-2_Projections!S66,1),0),0)</f>
        <v>0.101923203122697</v>
      </c>
      <c r="U23" s="27" t="n">
        <f aca="false">IFERROR(IF(3_CashFlow!U26&lt;0,-3_CashFlow!U26/MAX(2_Projections!U66-2_Projections!T66,1),0),0)</f>
        <v>0.0428265305523177</v>
      </c>
      <c r="V23" s="27" t="n">
        <f aca="false">IFERROR(IF(3_CashFlow!V26&lt;0,-3_CashFlow!V26/MAX(2_Projections!V66-2_Projections!U66,1),0),0)</f>
        <v>0</v>
      </c>
      <c r="W23" s="27" t="n">
        <f aca="false">IFERROR(IF(3_CashFlow!W26&lt;0,-3_CashFlow!W26/MAX(2_Projections!W66-2_Projections!V66,1),0),0)</f>
        <v>0</v>
      </c>
      <c r="X23" s="27" t="n">
        <f aca="false">IFERROR(IF(3_CashFlow!X26&lt;0,-3_CashFlow!X26/MAX(2_Projections!X66-2_Projections!W66,1),0),0)</f>
        <v>0</v>
      </c>
      <c r="Y23" s="27" t="n">
        <f aca="false">IFERROR(IF(3_CashFlow!Y26&lt;0,-3_CashFlow!Y26/MAX(2_Projections!Y66-2_Projections!X66,1),0),0)</f>
        <v>0</v>
      </c>
      <c r="Z23" s="27" t="n">
        <f aca="false">IFERROR(IF(3_CashFlow!Z26&lt;0,-3_CashFlow!Z26/MAX(2_Projections!Z66-2_Projections!Y66,1),0),0)</f>
        <v>0</v>
      </c>
      <c r="AA23" s="27" t="n">
        <f aca="false">IFERROR(IF(3_CashFlow!AA26&lt;0,-3_CashFlow!AA26/MAX(2_Projections!AA66-2_Projections!Z66,1),0),0)</f>
        <v>0</v>
      </c>
      <c r="AB23" s="27" t="n">
        <f aca="false">IFERROR(IF(3_CashFlow!AB26&lt;0,-3_CashFlow!AB26/MAX(2_Projections!AB66-2_Projections!AA66,1),0),0)</f>
        <v>0</v>
      </c>
      <c r="AC23" s="27" t="n">
        <f aca="false">IFERROR(IF(3_CashFlow!AC26&lt;0,-3_CashFlow!AC26/MAX(2_Projections!AC66-2_Projections!AB66,1),0),0)</f>
        <v>0</v>
      </c>
    </row>
    <row r="24" customFormat="false" ht="15" hidden="false" customHeight="true" outlineLevel="0" collapsed="false">
      <c r="A24" s="21"/>
      <c r="B24" s="22" t="s">
        <v>475</v>
      </c>
      <c r="C24" s="23" t="s">
        <v>470</v>
      </c>
      <c r="D24" s="21"/>
      <c r="E24" s="21"/>
      <c r="F24" s="131" t="n">
        <f aca="false">IFERROR((2_Projections!F66-2_Projections!E66)*(12/1)/(E5*(12/1)),0)</f>
        <v>0.970238195236095</v>
      </c>
      <c r="G24" s="132" t="n">
        <f aca="false">IFERROR((2_Projections!G66-2_Projections!F66)*(12/1)/(F5*(12/1)),0)</f>
        <v>5.66995428091438</v>
      </c>
      <c r="H24" s="131" t="n">
        <f aca="false">IFERROR((2_Projections!H66-2_Projections!G66)*(12/1)/(G5*(12/1)),0)</f>
        <v>6.6562150648947</v>
      </c>
      <c r="I24" s="131" t="n">
        <f aca="false">IFERROR((2_Projections!I66-2_Projections!H66)*(12/1)/(H5*(12/1)),0)</f>
        <v>9.97589839624074</v>
      </c>
      <c r="J24" s="131" t="n">
        <f aca="false">IFERROR((2_Projections!J66-2_Projections!I66)*(12/1)/(I5*(12/1)),0)</f>
        <v>3.27742186594452</v>
      </c>
      <c r="K24" s="131" t="n">
        <f aca="false">IFERROR((2_Projections!K66-2_Projections!J66)*(12/1)/(J5*(12/1)),0)</f>
        <v>1.21300695364467</v>
      </c>
      <c r="L24" s="131" t="n">
        <f aca="false">IFERROR((2_Projections!L66-2_Projections!K66)*(12/1)/(K5*(12/1)),0)</f>
        <v>7.8634485749366</v>
      </c>
      <c r="M24" s="131" t="n">
        <f aca="false">IFERROR((2_Projections!M66-2_Projections!L66)*(12/1)/(L5*(12/1)),0)</f>
        <v>2.77114912636423</v>
      </c>
      <c r="N24" s="131" t="n">
        <f aca="false">IFERROR((2_Projections!N66-2_Projections!M66)*(12/3)/(M5*(12/1)),0)</f>
        <v>5.71134087723502</v>
      </c>
      <c r="O24" s="131" t="n">
        <f aca="false">IFERROR((2_Projections!O66-2_Projections!N66)*(12/3)/(N5*(12/3)),0)</f>
        <v>3.3931120924211</v>
      </c>
      <c r="P24" s="131" t="n">
        <f aca="false">IFERROR((2_Projections!P66-2_Projections!O66)*(12/3)/(O5*(12/3)),0)</f>
        <v>3.14591443937284</v>
      </c>
      <c r="Q24" s="131" t="n">
        <f aca="false">IFERROR((2_Projections!Q66-2_Projections!P66)*(12/3)/(P5*(12/3)),0)</f>
        <v>3.05334595872518</v>
      </c>
      <c r="R24" s="131" t="n">
        <f aca="false">IFERROR((2_Projections!R66-2_Projections!Q66)*(12/3)/(Q5*(12/3)),0)</f>
        <v>2.04877592163295</v>
      </c>
      <c r="S24" s="131" t="n">
        <f aca="false">IFERROR((2_Projections!S66-2_Projections!R66)*(12/3)/(R5*(12/3)),0)</f>
        <v>2.12107322912944</v>
      </c>
      <c r="T24" s="131" t="n">
        <f aca="false">IFERROR((2_Projections!T66-2_Projections!S66)*(12/3)/(S5*(12/3)),0)</f>
        <v>1.96933625781141</v>
      </c>
      <c r="U24" s="131" t="n">
        <f aca="false">IFERROR((2_Projections!U66-2_Projections!T66)*(12/3)/(T5*(12/3)),0)</f>
        <v>2.06955462560667</v>
      </c>
      <c r="V24" s="131" t="n">
        <f aca="false">IFERROR((2_Projections!V66-2_Projections!U66)*(12/3)/(U5*(12/3)),0)</f>
        <v>1.54342957615779</v>
      </c>
      <c r="W24" s="131" t="n">
        <f aca="false">IFERROR((2_Projections!W66-2_Projections!V66)*(12/3)/(V5*(12/3)),0)</f>
        <v>1.41659113151789</v>
      </c>
      <c r="X24" s="131" t="n">
        <f aca="false">IFERROR((2_Projections!X66-2_Projections!W66)*(12/3)/(W5*(12/3)),0)</f>
        <v>1.10443531612503</v>
      </c>
      <c r="Y24" s="131" t="n">
        <f aca="false">IFERROR((2_Projections!Y66-2_Projections!X66)*(12/3)/(X5*(12/3)),0)</f>
        <v>1.15138654661982</v>
      </c>
      <c r="Z24" s="131" t="n">
        <f aca="false">IFERROR((2_Projections!Z66-2_Projections!Y66)*(12/3)/(Y5*(12/3)),0)</f>
        <v>1.08508657366665</v>
      </c>
      <c r="AA24" s="131" t="n">
        <f aca="false">IFERROR((2_Projections!AA66-2_Projections!Z66)*(12/3)/(Z5*(12/3)),0)</f>
        <v>0.905617341490956</v>
      </c>
      <c r="AB24" s="131" t="n">
        <f aca="false">IFERROR((2_Projections!AB66-2_Projections!AA66)*(12/3)/(AA5*(12/3)),0)</f>
        <v>0.82596987834648</v>
      </c>
      <c r="AC24" s="131" t="n">
        <f aca="false">IFERROR((2_Projections!AC66-2_Projections!AB66)*(12/3)/(AB5*(12/3)),0)</f>
        <v>0.834774494091539</v>
      </c>
    </row>
    <row r="25" customFormat="false" ht="15" hidden="false" customHeight="true" outlineLevel="0" collapsed="false">
      <c r="A25" s="16"/>
      <c r="B25" s="17" t="s">
        <v>476</v>
      </c>
      <c r="C25" s="18" t="s">
        <v>304</v>
      </c>
      <c r="D25" s="16"/>
      <c r="E25" s="16"/>
      <c r="F25" s="98" t="n">
        <f aca="false">IFERROR((F9-E9)/MAX(ABS(E9),1)*(12/1)+F12/F9,0)</f>
        <v>1.88368401587194</v>
      </c>
      <c r="G25" s="99" t="n">
        <f aca="false">IFERROR((G9-F9)/MAX(ABS(F9),1)*(12/1)+G12/G9,0)</f>
        <v>8.23845981275732</v>
      </c>
      <c r="H25" s="98" t="n">
        <f aca="false">IFERROR((H9-G9)/MAX(ABS(G9),1)*(12/1)+H12/H9,0)</f>
        <v>3.59978514088447</v>
      </c>
      <c r="I25" s="98" t="n">
        <f aca="false">IFERROR((I9-H9)/MAX(ABS(H9),1)*(12/1)+I12/I9,0)</f>
        <v>8.81936714004937</v>
      </c>
      <c r="J25" s="98" t="n">
        <f aca="false">IFERROR((J9-I9)/MAX(ABS(I9),1)*(12/1)+J12/J9,0)</f>
        <v>-0.415078896838624</v>
      </c>
      <c r="K25" s="98" t="n">
        <f aca="false">IFERROR((K9-J9)/MAX(ABS(J9),1)*(12/1)+K12/K9,0)</f>
        <v>-1.3519897325492</v>
      </c>
      <c r="L25" s="98" t="n">
        <f aca="false">IFERROR((L9-K9)/MAX(ABS(K9),1)*(12/1)+L12/L9,0)</f>
        <v>6.6169953148721</v>
      </c>
      <c r="M25" s="98" t="n">
        <f aca="false">IFERROR((M9-L9)/MAX(ABS(L9),1)*(12/1)+M12/M9,0)</f>
        <v>-0.0945626607484518</v>
      </c>
      <c r="N25" s="98" t="n">
        <f aca="false">IFERROR((N9-M9)/MAX(ABS(M9),1)*(12/3)+N12/N9,0)</f>
        <v>17.3682616422476</v>
      </c>
      <c r="O25" s="98" t="n">
        <f aca="false">IFERROR((O9-N9)/MAX(ABS(N9),1)*(12/3)+O12/O9,0)</f>
        <v>1.39682181855284</v>
      </c>
      <c r="P25" s="98" t="n">
        <f aca="false">IFERROR((P9-O9)/MAX(ABS(O9),1)*(12/3)+P12/P9,0)</f>
        <v>1.3354015028457</v>
      </c>
      <c r="Q25" s="98" t="n">
        <f aca="false">IFERROR((Q9-P9)/MAX(ABS(P9),1)*(12/3)+Q12/Q9,0)</f>
        <v>1.31173655029295</v>
      </c>
      <c r="R25" s="98" t="n">
        <f aca="false">IFERROR((R9-Q9)/MAX(ABS(Q9),1)*(12/3)+R12/R9,0)</f>
        <v>0.846917140663781</v>
      </c>
      <c r="S25" s="98" t="n">
        <f aca="false">IFERROR((S9-R9)/MAX(ABS(R9),1)*(12/3)+S12/S9,0)</f>
        <v>0.90934344827064</v>
      </c>
      <c r="T25" s="98" t="n">
        <f aca="false">IFERROR((T9-S9)/MAX(ABS(S9),1)*(12/3)+T12/T9,0)</f>
        <v>0.876521877343601</v>
      </c>
      <c r="U25" s="98" t="n">
        <f aca="false">IFERROR((U9-T9)/MAX(ABS(T9),1)*(12/3)+U12/U9,0)</f>
        <v>0.947533980810161</v>
      </c>
      <c r="V25" s="98" t="n">
        <f aca="false">IFERROR((V9-U9)/MAX(ABS(U9),1)*(12/3)+V12/V9,0)</f>
        <v>0.696311569374288</v>
      </c>
      <c r="W25" s="98" t="n">
        <f aca="false">IFERROR((W9-V9)/MAX(ABS(V9),1)*(12/3)+W12/W9,0)</f>
        <v>0.648526871379808</v>
      </c>
      <c r="X25" s="98" t="n">
        <f aca="false">IFERROR((X9-W9)/MAX(ABS(W9),1)*(12/3)+X12/X9,0)</f>
        <v>0.524432273586088</v>
      </c>
      <c r="Y25" s="98" t="n">
        <f aca="false">IFERROR((Y9-X9)/MAX(ABS(X9),1)*(12/3)+Y12/Y9,0)</f>
        <v>0.590458668901086</v>
      </c>
      <c r="Z25" s="98" t="n">
        <f aca="false">IFERROR((Z9-Y9)/MAX(ABS(Y9),1)*(12/3)+Z12/Z9,0)</f>
        <v>0.568310807634159</v>
      </c>
      <c r="AA25" s="98" t="n">
        <f aca="false">IFERROR((AA9-Z9)/MAX(ABS(Z9),1)*(12/3)+AA12/AA9,0)</f>
        <v>0.505046805743081</v>
      </c>
      <c r="AB25" s="98" t="n">
        <f aca="false">IFERROR((AB9-AA9)/MAX(ABS(AA9),1)*(12/3)+AB12/AB9,0)</f>
        <v>0.51228843118939</v>
      </c>
      <c r="AC25" s="98" t="n">
        <f aca="false">IFERROR((AC9-AB9)/MAX(ABS(AB9),1)*(12/3)+AC12/AC9,0)</f>
        <v>0.528355013265252</v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2026-03-29T17:00:56Z</dcterms:created>
  <dc:creator>openpyxl</dc:creator>
  <dc:description/>
  <dc:language>en-US</dc:language>
  <cp:lastModifiedBy/>
  <dcterms:modified xsi:type="dcterms:W3CDTF">2026-04-02T18:23:38Z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