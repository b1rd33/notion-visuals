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Assumptions" sheetId="2" state="visible" r:id="rId2"/>
    <sheet xmlns:r="http://schemas.openxmlformats.org/officeDocument/2006/relationships" name="2_Projections" sheetId="3" state="visible" r:id="rId3"/>
    <sheet xmlns:r="http://schemas.openxmlformats.org/officeDocument/2006/relationships" name="3_CashFlow" sheetId="4" state="visible" r:id="rId4"/>
    <sheet xmlns:r="http://schemas.openxmlformats.org/officeDocument/2006/relationships" name="4_BalanceSheet" sheetId="5" state="visible" r:id="rId5"/>
    <sheet xmlns:r="http://schemas.openxmlformats.org/officeDocument/2006/relationships" name="5_Headcount" sheetId="6" state="visible" r:id="rId6"/>
    <sheet xmlns:r="http://schemas.openxmlformats.org/officeDocument/2006/relationships" name="6_UnitEconomics" sheetId="7" state="visible" r:id="rId7"/>
    <sheet xmlns:r="http://schemas.openxmlformats.org/officeDocument/2006/relationships" name="7_CapTable" sheetId="8" state="visible" r:id="rId8"/>
    <sheet xmlns:r="http://schemas.openxmlformats.org/officeDocument/2006/relationships" name="8_Valuation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_ * #,##0.00_ ;_ * \-#,##0.00_ ;_ * \-??_ ;_ @_ "/>
    <numFmt numFmtId="165" formatCode="0.0%"/>
    <numFmt numFmtId="166" formatCode="0.000"/>
    <numFmt numFmtId="167" formatCode="_-* #,##0&quot; €&quot;_-;\-* #,##0&quot; €&quot;_-;_-* &quot;- €&quot;_-;_-@"/>
    <numFmt numFmtId="168" formatCode="0.0"/>
    <numFmt numFmtId="169" formatCode="\€#,##0.00"/>
    <numFmt numFmtId="170" formatCode="\€#,##0"/>
    <numFmt numFmtId="171" formatCode="0.0\x"/>
    <numFmt numFmtId="172" formatCode="\+0.0%;\-0.0%"/>
    <numFmt numFmtId="173" formatCode="0.00\x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3864"/>
      <sz val="14"/>
    </font>
    <font>
      <name val="Arial"/>
      <charset val="1"/>
      <family val="2"/>
      <b val="1"/>
      <color rgb="FF1F3864"/>
      <sz val="11"/>
    </font>
    <font>
      <name val="Arial"/>
      <charset val="1"/>
      <family val="2"/>
      <color rgb="FF333333"/>
      <sz val="9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C0502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999999"/>
      <sz val="8"/>
    </font>
    <font>
      <name val="Arial"/>
      <charset val="1"/>
      <family val="2"/>
      <color rgb="FF000000"/>
      <sz val="10"/>
    </font>
    <font>
      <name val="Arial"/>
      <charset val="1"/>
      <family val="2"/>
      <color rgb="FF000000"/>
      <sz val="9"/>
    </font>
    <font>
      <name val="Cambria"/>
      <charset val="1"/>
      <family val="1"/>
      <b val="1"/>
      <sz val="9"/>
    </font>
    <font>
      <name val="Arial"/>
      <charset val="1"/>
      <family val="2"/>
      <color rgb="FF0000FF"/>
      <sz val="10"/>
    </font>
    <font>
      <name val="Arial"/>
      <charset val="1"/>
      <family val="2"/>
      <color rgb="FF888888"/>
      <sz val="9"/>
    </font>
    <font>
      <name val="Arial"/>
      <charset val="1"/>
      <family val="2"/>
      <b val="1"/>
      <color rgb="FF1F3864"/>
      <sz val="10"/>
    </font>
    <font>
      <name val="Cambria"/>
      <charset val="1"/>
      <family val="1"/>
      <color rgb="FF666666"/>
      <sz val="9"/>
    </font>
    <font>
      <name val="Arial"/>
      <charset val="1"/>
      <family val="2"/>
      <b val="1"/>
      <color rgb="FF885500"/>
      <sz val="11"/>
    </font>
    <font>
      <name val="Arial"/>
      <charset val="1"/>
      <family val="2"/>
      <b val="1"/>
      <color rgb="FF0000FF"/>
      <sz val="11"/>
    </font>
    <font>
      <name val="Arial"/>
      <charset val="1"/>
      <family val="2"/>
      <b val="1"/>
      <color rgb="FFFFFFFF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CC0000"/>
      <sz val="9"/>
    </font>
    <font>
      <name val="Arial"/>
      <charset val="1"/>
      <family val="2"/>
      <b val="1"/>
      <color rgb="FF006100"/>
      <sz val="10"/>
    </font>
    <font>
      <name val="Cambria"/>
      <charset val="1"/>
      <family val="1"/>
      <b val="1"/>
      <sz val="11"/>
    </font>
    <font>
      <name val="Cambria"/>
      <charset val="1"/>
      <family val="1"/>
      <b val="1"/>
      <sz val="8"/>
    </font>
    <font>
      <name val="Cambria"/>
      <charset val="1"/>
      <family val="1"/>
      <color rgb="FF000000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sz val="9"/>
    </font>
    <font>
      <name val="Cambria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8000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8E8"/>
        <bgColor rgb="FFD9E2F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D9E1F2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D9E2F3"/>
      </patternFill>
    </fill>
    <fill>
      <patternFill patternType="solid">
        <fgColor rgb="FFF2CCFF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E4F0"/>
      </patternFill>
    </fill>
    <fill>
      <patternFill patternType="solid">
        <fgColor rgb="FFD9E1F2"/>
        <bgColor rgb="FFD9E2F3"/>
      </patternFill>
    </fill>
    <fill>
      <patternFill patternType="solid">
        <fgColor rgb="FFFFC7CE"/>
        <bgColor rgb="FFF2CCFF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left" vertical="bottom"/>
    </xf>
    <xf numFmtId="0" fontId="11" fillId="4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8" fillId="8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2" fontId="14" fillId="6" borderId="1" applyAlignment="1" pivotButton="0" quotePrefix="0" xfId="0">
      <alignment horizontal="general" vertical="bottom"/>
    </xf>
    <xf numFmtId="2" fontId="16" fillId="6" borderId="1" applyAlignment="1" pivotButton="0" quotePrefix="0" xfId="0">
      <alignment horizontal="general" vertical="bottom"/>
    </xf>
    <xf numFmtId="2" fontId="13" fillId="6" borderId="1" applyAlignment="1" pivotButton="0" quotePrefix="0" xfId="0">
      <alignment horizontal="general" vertical="bottom"/>
    </xf>
    <xf numFmtId="2" fontId="14" fillId="7" borderId="1" applyAlignment="1" pivotButton="0" quotePrefix="0" xfId="0">
      <alignment horizontal="general" vertical="bottom"/>
    </xf>
    <xf numFmtId="2" fontId="16" fillId="7" borderId="1" applyAlignment="1" pivotButton="0" quotePrefix="0" xfId="0">
      <alignment horizontal="general" vertical="bottom"/>
    </xf>
    <xf numFmtId="2" fontId="13" fillId="7" borderId="1" applyAlignment="1" pivotButton="0" quotePrefix="0" xfId="0">
      <alignment horizontal="general" vertical="bottom"/>
    </xf>
    <xf numFmtId="165" fontId="14" fillId="7" borderId="1" applyAlignment="1" pivotButton="0" quotePrefix="0" xfId="0">
      <alignment horizontal="general" vertical="bottom"/>
    </xf>
    <xf numFmtId="165" fontId="16" fillId="7" borderId="1" applyAlignment="1" pivotButton="0" quotePrefix="0" xfId="0">
      <alignment horizontal="general" vertical="bottom"/>
    </xf>
    <xf numFmtId="165" fontId="13" fillId="7" borderId="1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165" fontId="16" fillId="6" borderId="1" applyAlignment="1" pivotButton="0" quotePrefix="0" xfId="0">
      <alignment horizontal="general" vertical="bottom"/>
    </xf>
    <xf numFmtId="165" fontId="13" fillId="6" borderId="1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6" fillId="8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9" fontId="14" fillId="7" borderId="1" applyAlignment="1" pivotButton="0" quotePrefix="0" xfId="0">
      <alignment horizontal="general" vertical="bottom"/>
    </xf>
    <xf numFmtId="9" fontId="14" fillId="6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9" fontId="16" fillId="7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7" borderId="1" applyAlignment="1" pivotButton="0" quotePrefix="0" xfId="0">
      <alignment horizontal="general" vertical="bottom"/>
    </xf>
    <xf numFmtId="165" fontId="0" fillId="6" borderId="1" applyAlignment="1" pivotButton="0" quotePrefix="0" xfId="0">
      <alignment horizontal="general" vertical="bottom"/>
    </xf>
    <xf numFmtId="166" fontId="14" fillId="7" borderId="1" applyAlignment="1" pivotButton="0" quotePrefix="0" xfId="0">
      <alignment horizontal="general" vertical="bottom"/>
    </xf>
    <xf numFmtId="166" fontId="16" fillId="7" borderId="1" applyAlignment="1" pivotButton="0" quotePrefix="0" xfId="0">
      <alignment horizontal="general" vertical="bottom"/>
    </xf>
    <xf numFmtId="166" fontId="13" fillId="7" borderId="1" applyAlignment="1" pivotButton="0" quotePrefix="0" xfId="0">
      <alignment horizontal="general" vertical="bottom"/>
    </xf>
    <xf numFmtId="166" fontId="14" fillId="6" borderId="1" applyAlignment="1" pivotButton="0" quotePrefix="0" xfId="0">
      <alignment horizontal="general" vertical="bottom"/>
    </xf>
    <xf numFmtId="166" fontId="16" fillId="6" borderId="1" applyAlignment="1" pivotButton="0" quotePrefix="0" xfId="0">
      <alignment horizontal="general" vertical="bottom"/>
    </xf>
    <xf numFmtId="166" fontId="13" fillId="6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9" fontId="8" fillId="7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general" vertical="bottom"/>
    </xf>
    <xf numFmtId="0" fontId="20" fillId="9" borderId="1" applyAlignment="1" pivotButton="0" quotePrefix="0" xfId="0">
      <alignment horizontal="general" vertical="bottom"/>
    </xf>
    <xf numFmtId="0" fontId="21" fillId="1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22" fillId="4" borderId="1" applyAlignment="1" pivotButton="0" quotePrefix="0" xfId="0">
      <alignment horizontal="center" vertical="bottom"/>
    </xf>
    <xf numFmtId="10" fontId="13" fillId="7" borderId="1" applyAlignment="1" pivotButton="0" quotePrefix="0" xfId="0">
      <alignment horizontal="general" vertical="bottom"/>
    </xf>
    <xf numFmtId="10" fontId="17" fillId="7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general" vertical="bottom"/>
    </xf>
    <xf numFmtId="0" fontId="16" fillId="7" borderId="0" applyAlignment="1" pivotButton="0" quotePrefix="0" xfId="0">
      <alignment horizontal="general" vertical="bottom"/>
    </xf>
    <xf numFmtId="0" fontId="0" fillId="6" borderId="2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0" fontId="14" fillId="6" borderId="2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bottom"/>
    </xf>
    <xf numFmtId="165" fontId="0" fillId="8" borderId="1" applyAlignment="1" pivotButton="0" quotePrefix="0" xfId="0">
      <alignment horizontal="general" vertical="bottom"/>
    </xf>
    <xf numFmtId="167" fontId="13" fillId="7" borderId="1" applyAlignment="1" pivotButton="0" quotePrefix="0" xfId="0">
      <alignment horizontal="general" vertical="bottom"/>
    </xf>
    <xf numFmtId="167" fontId="16" fillId="6" borderId="1" applyAlignment="1" pivotButton="0" quotePrefix="0" xfId="0">
      <alignment horizontal="general" vertical="bottom"/>
    </xf>
    <xf numFmtId="167" fontId="13" fillId="6" borderId="1" applyAlignment="1" pivotButton="0" quotePrefix="0" xfId="0">
      <alignment horizontal="general" vertical="bottom"/>
    </xf>
    <xf numFmtId="167" fontId="16" fillId="7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0" fontId="23" fillId="2" borderId="1" applyAlignment="1" pivotButton="0" quotePrefix="0" xfId="0">
      <alignment horizontal="general" vertical="bottom"/>
    </xf>
    <xf numFmtId="167" fontId="11" fillId="2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17" fillId="6" borderId="1" applyAlignment="1" pivotButton="0" quotePrefix="0" xfId="0">
      <alignment horizontal="general" vertical="bottom"/>
    </xf>
    <xf numFmtId="167" fontId="17" fillId="7" borderId="1" applyAlignment="1" pivotButton="0" quotePrefix="0" xfId="0">
      <alignment horizontal="general" vertical="bottom"/>
    </xf>
    <xf numFmtId="165" fontId="11" fillId="2" borderId="1" applyAlignment="1" pivotButton="0" quotePrefix="0" xfId="0">
      <alignment horizontal="general" vertical="bottom"/>
    </xf>
    <xf numFmtId="165" fontId="17" fillId="2" borderId="1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8" fontId="13" fillId="6" borderId="1" applyAlignment="1" pivotButton="0" quotePrefix="0" xfId="0">
      <alignment horizontal="general" vertical="bottom"/>
    </xf>
    <xf numFmtId="168" fontId="17" fillId="6" borderId="1" applyAlignment="1" pivotButton="0" quotePrefix="0" xfId="0">
      <alignment horizontal="general" vertical="bottom"/>
    </xf>
    <xf numFmtId="0" fontId="24" fillId="7" borderId="1" applyAlignment="1" pivotButton="0" quotePrefix="0" xfId="0">
      <alignment horizontal="general" vertical="bottom"/>
    </xf>
    <xf numFmtId="167" fontId="25" fillId="11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26" fillId="7" borderId="1" applyAlignment="1" pivotButton="0" quotePrefix="0" xfId="0">
      <alignment horizontal="general" vertical="bottom"/>
    </xf>
    <xf numFmtId="0" fontId="27" fillId="7" borderId="1" applyAlignment="1" pivotButton="0" quotePrefix="0" xfId="0">
      <alignment horizontal="general" vertical="bottom"/>
    </xf>
    <xf numFmtId="0" fontId="28" fillId="6" borderId="1" applyAlignment="1" pivotButton="0" quotePrefix="0" xfId="0">
      <alignment horizontal="general" vertical="bottom"/>
    </xf>
    <xf numFmtId="3" fontId="13" fillId="6" borderId="1" applyAlignment="1" pivotButton="0" quotePrefix="0" xfId="0">
      <alignment horizontal="general" vertical="bottom"/>
    </xf>
    <xf numFmtId="3" fontId="17" fillId="6" borderId="1" applyAlignment="1" pivotButton="0" quotePrefix="0" xfId="0">
      <alignment horizontal="general" vertical="bottom"/>
    </xf>
    <xf numFmtId="0" fontId="28" fillId="7" borderId="1" applyAlignment="1" pivotButton="0" quotePrefix="0" xfId="0">
      <alignment horizontal="general" vertical="bottom"/>
    </xf>
    <xf numFmtId="3" fontId="13" fillId="7" borderId="1" applyAlignment="1" pivotButton="0" quotePrefix="0" xfId="0">
      <alignment horizontal="general" vertical="bottom"/>
    </xf>
    <xf numFmtId="3" fontId="17" fillId="7" borderId="1" applyAlignment="1" pivotButton="0" quotePrefix="0" xfId="0">
      <alignment horizontal="general" vertical="bottom"/>
    </xf>
    <xf numFmtId="0" fontId="26" fillId="6" borderId="1" applyAlignment="1" pivotButton="0" quotePrefix="0" xfId="0">
      <alignment horizontal="general" vertical="bottom"/>
    </xf>
    <xf numFmtId="0" fontId="26" fillId="2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29" fillId="2" borderId="1" applyAlignment="1" pivotButton="0" quotePrefix="0" xfId="0">
      <alignment horizontal="general" vertical="bottom"/>
    </xf>
    <xf numFmtId="0" fontId="29" fillId="4" borderId="1" applyAlignment="1" pivotButton="0" quotePrefix="0" xfId="0">
      <alignment horizontal="left" vertical="bottom"/>
    </xf>
    <xf numFmtId="0" fontId="29" fillId="4" borderId="1" applyAlignment="1" pivotButton="0" quotePrefix="0" xfId="0">
      <alignment horizontal="center" vertical="bottom"/>
    </xf>
    <xf numFmtId="0" fontId="30" fillId="4" borderId="1" applyAlignment="1" pivotButton="0" quotePrefix="0" xfId="0">
      <alignment horizontal="center" vertical="bottom"/>
    </xf>
    <xf numFmtId="0" fontId="0" fillId="8" borderId="0" applyAlignment="1" pivotButton="0" quotePrefix="0" xfId="0">
      <alignment horizontal="general" vertical="bottom"/>
    </xf>
    <xf numFmtId="0" fontId="31" fillId="8" borderId="0" applyAlignment="1" pivotButton="0" quotePrefix="0" xfId="0">
      <alignment horizontal="general" vertical="bottom"/>
    </xf>
    <xf numFmtId="167" fontId="0" fillId="8" borderId="1" applyAlignment="1" pivotButton="0" quotePrefix="0" xfId="0">
      <alignment horizontal="general" vertical="bottom"/>
    </xf>
    <xf numFmtId="0" fontId="31" fillId="8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165" fontId="16" fillId="8" borderId="1" applyAlignment="1" pivotButton="0" quotePrefix="0" xfId="0">
      <alignment horizontal="general" vertical="bottom"/>
    </xf>
    <xf numFmtId="165" fontId="13" fillId="8" borderId="1" applyAlignment="1" pivotButton="0" quotePrefix="0" xfId="0">
      <alignment horizontal="general" vertical="bottom"/>
    </xf>
    <xf numFmtId="165" fontId="17" fillId="8" borderId="1" applyAlignment="1" pivotButton="0" quotePrefix="0" xfId="0">
      <alignment horizontal="general" vertical="bottom"/>
    </xf>
    <xf numFmtId="165" fontId="17" fillId="6" borderId="1" applyAlignment="1" pivotButton="0" quotePrefix="0" xfId="0">
      <alignment horizontal="general" vertical="bottom"/>
    </xf>
    <xf numFmtId="164" fontId="8" fillId="7" borderId="1" applyAlignment="1" pivotButton="0" quotePrefix="0" xfId="0">
      <alignment horizontal="general" vertical="bottom"/>
    </xf>
    <xf numFmtId="168" fontId="13" fillId="7" borderId="1" applyAlignment="1" pivotButton="0" quotePrefix="0" xfId="0">
      <alignment horizontal="general" vertical="bottom"/>
    </xf>
    <xf numFmtId="168" fontId="17" fillId="7" borderId="1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12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36" fillId="1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9" fontId="36" fillId="10" borderId="0" applyAlignment="1" pivotButton="0" quotePrefix="0" xfId="0">
      <alignment horizontal="general" vertical="bottom"/>
    </xf>
    <xf numFmtId="3" fontId="35" fillId="0" borderId="0" applyAlignment="1" pivotButton="0" quotePrefix="0" xfId="0">
      <alignment horizontal="general" vertical="bottom"/>
    </xf>
    <xf numFmtId="165" fontId="36" fillId="10" borderId="0" applyAlignment="1" pivotButton="0" quotePrefix="0" xfId="0">
      <alignment horizontal="general" vertical="bottom"/>
    </xf>
    <xf numFmtId="0" fontId="36" fillId="10" borderId="0" applyAlignment="1" pivotButton="0" quotePrefix="0" xfId="0">
      <alignment horizontal="general" vertical="bottom"/>
    </xf>
    <xf numFmtId="170" fontId="36" fillId="10" borderId="0" applyAlignment="1" pivotButton="0" quotePrefix="0" xfId="0">
      <alignment horizontal="general" vertical="bottom"/>
    </xf>
    <xf numFmtId="170" fontId="35" fillId="0" borderId="0" applyAlignment="1" pivotButton="0" quotePrefix="0" xfId="0">
      <alignment horizontal="general" vertical="bottom"/>
    </xf>
    <xf numFmtId="165" fontId="35" fillId="0" borderId="0" applyAlignment="1" pivotButton="0" quotePrefix="0" xfId="0">
      <alignment horizontal="general" vertical="bottom"/>
    </xf>
    <xf numFmtId="169" fontId="35" fillId="0" borderId="0" applyAlignment="1" pivotButton="0" quotePrefix="0" xfId="0">
      <alignment horizontal="general" vertical="bottom"/>
    </xf>
    <xf numFmtId="0" fontId="34" fillId="0" borderId="3" applyAlignment="1" pivotButton="0" quotePrefix="0" xfId="0">
      <alignment horizontal="general" vertical="bottom"/>
    </xf>
    <xf numFmtId="3" fontId="34" fillId="0" borderId="3" applyAlignment="1" pivotButton="0" quotePrefix="0" xfId="0">
      <alignment horizontal="general" vertical="bottom"/>
    </xf>
    <xf numFmtId="165" fontId="34" fillId="0" borderId="3" applyAlignment="1" pivotButton="0" quotePrefix="0" xfId="0">
      <alignment horizontal="general" vertical="bottom"/>
    </xf>
    <xf numFmtId="170" fontId="38" fillId="0" borderId="0" applyAlignment="1" pivotButton="0" quotePrefix="0" xfId="0">
      <alignment horizontal="general" vertical="bottom"/>
    </xf>
    <xf numFmtId="171" fontId="36" fillId="10" borderId="0" applyAlignment="1" pivotButton="0" quotePrefix="0" xfId="0">
      <alignment horizontal="general" vertical="bottom"/>
    </xf>
    <xf numFmtId="171" fontId="35" fillId="0" borderId="0" applyAlignment="1" pivotButton="0" quotePrefix="0" xfId="0">
      <alignment horizontal="general" vertical="bottom"/>
    </xf>
    <xf numFmtId="0" fontId="37" fillId="13" borderId="0" applyAlignment="1" pivotButton="0" quotePrefix="0" xfId="0">
      <alignment horizontal="general" vertical="bottom"/>
    </xf>
    <xf numFmtId="172" fontId="35" fillId="0" borderId="0" applyAlignment="1" pivotButton="0" quotePrefix="0" xfId="0">
      <alignment horizontal="general" vertical="bottom"/>
    </xf>
    <xf numFmtId="1" fontId="36" fillId="10" borderId="0" applyAlignment="1" pivotButton="0" quotePrefix="0" xfId="0">
      <alignment horizontal="general" vertical="bottom"/>
    </xf>
    <xf numFmtId="1" fontId="35" fillId="0" borderId="0" applyAlignment="1" pivotButton="0" quotePrefix="0" xfId="0">
      <alignment horizontal="general" vertical="bottom"/>
    </xf>
    <xf numFmtId="170" fontId="33" fillId="0" borderId="0" applyAlignment="1" pivotButton="0" quotePrefix="0" xfId="0">
      <alignment horizontal="general" vertical="bottom"/>
    </xf>
    <xf numFmtId="3" fontId="38" fillId="0" borderId="0" applyAlignment="1" pivotButton="0" quotePrefix="0" xfId="0">
      <alignment horizontal="general" vertical="bottom"/>
    </xf>
    <xf numFmtId="165" fontId="38" fillId="0" borderId="0" applyAlignment="1" pivotButton="0" quotePrefix="0" xfId="0">
      <alignment horizontal="general" vertical="bottom"/>
    </xf>
    <xf numFmtId="173" fontId="3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10" fillId="3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left" vertical="bottom"/>
    </xf>
    <xf numFmtId="0" fontId="11" fillId="4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8" fillId="8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2" fontId="14" fillId="6" borderId="1" applyAlignment="1" pivotButton="0" quotePrefix="0" xfId="0">
      <alignment horizontal="general" vertical="bottom"/>
    </xf>
    <xf numFmtId="2" fontId="16" fillId="6" borderId="1" applyAlignment="1" pivotButton="0" quotePrefix="0" xfId="0">
      <alignment horizontal="general" vertical="bottom"/>
    </xf>
    <xf numFmtId="2" fontId="13" fillId="6" borderId="1" applyAlignment="1" pivotButton="0" quotePrefix="0" xfId="0">
      <alignment horizontal="general" vertical="bottom"/>
    </xf>
    <xf numFmtId="2" fontId="14" fillId="7" borderId="1" applyAlignment="1" pivotButton="0" quotePrefix="0" xfId="0">
      <alignment horizontal="general" vertical="bottom"/>
    </xf>
    <xf numFmtId="2" fontId="16" fillId="7" borderId="1" applyAlignment="1" pivotButton="0" quotePrefix="0" xfId="0">
      <alignment horizontal="general" vertical="bottom"/>
    </xf>
    <xf numFmtId="2" fontId="13" fillId="7" borderId="1" applyAlignment="1" pivotButton="0" quotePrefix="0" xfId="0">
      <alignment horizontal="general" vertical="bottom"/>
    </xf>
    <xf numFmtId="165" fontId="14" fillId="7" borderId="1" applyAlignment="1" pivotButton="0" quotePrefix="0" xfId="0">
      <alignment horizontal="general" vertical="bottom"/>
    </xf>
    <xf numFmtId="165" fontId="16" fillId="7" borderId="1" applyAlignment="1" pivotButton="0" quotePrefix="0" xfId="0">
      <alignment horizontal="general" vertical="bottom"/>
    </xf>
    <xf numFmtId="165" fontId="13" fillId="7" borderId="1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165" fontId="16" fillId="6" borderId="1" applyAlignment="1" pivotButton="0" quotePrefix="0" xfId="0">
      <alignment horizontal="general" vertical="bottom"/>
    </xf>
    <xf numFmtId="165" fontId="13" fillId="6" borderId="1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6" fillId="8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9" fontId="14" fillId="7" borderId="1" applyAlignment="1" pivotButton="0" quotePrefix="0" xfId="0">
      <alignment horizontal="general" vertical="bottom"/>
    </xf>
    <xf numFmtId="9" fontId="14" fillId="6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9" fontId="16" fillId="7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7" borderId="1" applyAlignment="1" pivotButton="0" quotePrefix="0" xfId="0">
      <alignment horizontal="general" vertical="bottom"/>
    </xf>
    <xf numFmtId="165" fontId="0" fillId="6" borderId="1" applyAlignment="1" pivotButton="0" quotePrefix="0" xfId="0">
      <alignment horizontal="general" vertical="bottom"/>
    </xf>
    <xf numFmtId="166" fontId="14" fillId="7" borderId="1" applyAlignment="1" pivotButton="0" quotePrefix="0" xfId="0">
      <alignment horizontal="general" vertical="bottom"/>
    </xf>
    <xf numFmtId="166" fontId="16" fillId="7" borderId="1" applyAlignment="1" pivotButton="0" quotePrefix="0" xfId="0">
      <alignment horizontal="general" vertical="bottom"/>
    </xf>
    <xf numFmtId="166" fontId="13" fillId="7" borderId="1" applyAlignment="1" pivotButton="0" quotePrefix="0" xfId="0">
      <alignment horizontal="general" vertical="bottom"/>
    </xf>
    <xf numFmtId="166" fontId="14" fillId="6" borderId="1" applyAlignment="1" pivotButton="0" quotePrefix="0" xfId="0">
      <alignment horizontal="general" vertical="bottom"/>
    </xf>
    <xf numFmtId="166" fontId="16" fillId="6" borderId="1" applyAlignment="1" pivotButton="0" quotePrefix="0" xfId="0">
      <alignment horizontal="general" vertical="bottom"/>
    </xf>
    <xf numFmtId="166" fontId="13" fillId="6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9" fontId="8" fillId="7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general" vertical="bottom"/>
    </xf>
    <xf numFmtId="0" fontId="20" fillId="9" borderId="1" applyAlignment="1" pivotButton="0" quotePrefix="0" xfId="0">
      <alignment horizontal="general" vertical="bottom"/>
    </xf>
    <xf numFmtId="0" fontId="21" fillId="1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22" fillId="4" borderId="1" applyAlignment="1" pivotButton="0" quotePrefix="0" xfId="0">
      <alignment horizontal="center" vertical="bottom"/>
    </xf>
    <xf numFmtId="10" fontId="13" fillId="7" borderId="1" applyAlignment="1" pivotButton="0" quotePrefix="0" xfId="0">
      <alignment horizontal="general" vertical="bottom"/>
    </xf>
    <xf numFmtId="10" fontId="17" fillId="7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general" vertical="bottom"/>
    </xf>
    <xf numFmtId="0" fontId="16" fillId="7" borderId="0" applyAlignment="1" pivotButton="0" quotePrefix="0" xfId="0">
      <alignment horizontal="general" vertical="bottom"/>
    </xf>
    <xf numFmtId="0" fontId="0" fillId="6" borderId="2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0" fontId="14" fillId="6" borderId="2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bottom"/>
    </xf>
    <xf numFmtId="165" fontId="0" fillId="8" borderId="1" applyAlignment="1" pivotButton="0" quotePrefix="0" xfId="0">
      <alignment horizontal="general" vertical="bottom"/>
    </xf>
    <xf numFmtId="167" fontId="13" fillId="7" borderId="1" applyAlignment="1" pivotButton="0" quotePrefix="0" xfId="0">
      <alignment horizontal="general" vertical="bottom"/>
    </xf>
    <xf numFmtId="167" fontId="16" fillId="6" borderId="1" applyAlignment="1" pivotButton="0" quotePrefix="0" xfId="0">
      <alignment horizontal="general" vertical="bottom"/>
    </xf>
    <xf numFmtId="167" fontId="13" fillId="6" borderId="1" applyAlignment="1" pivotButton="0" quotePrefix="0" xfId="0">
      <alignment horizontal="general" vertical="bottom"/>
    </xf>
    <xf numFmtId="167" fontId="16" fillId="7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0" fontId="23" fillId="2" borderId="1" applyAlignment="1" pivotButton="0" quotePrefix="0" xfId="0">
      <alignment horizontal="general" vertical="bottom"/>
    </xf>
    <xf numFmtId="167" fontId="11" fillId="2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17" fillId="6" borderId="1" applyAlignment="1" pivotButton="0" quotePrefix="0" xfId="0">
      <alignment horizontal="general" vertical="bottom"/>
    </xf>
    <xf numFmtId="167" fontId="17" fillId="7" borderId="1" applyAlignment="1" pivotButton="0" quotePrefix="0" xfId="0">
      <alignment horizontal="general" vertical="bottom"/>
    </xf>
    <xf numFmtId="165" fontId="11" fillId="2" borderId="1" applyAlignment="1" pivotButton="0" quotePrefix="0" xfId="0">
      <alignment horizontal="general" vertical="bottom"/>
    </xf>
    <xf numFmtId="165" fontId="17" fillId="2" borderId="1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8" fontId="13" fillId="6" borderId="1" applyAlignment="1" pivotButton="0" quotePrefix="0" xfId="0">
      <alignment horizontal="general" vertical="bottom"/>
    </xf>
    <xf numFmtId="168" fontId="17" fillId="6" borderId="1" applyAlignment="1" pivotButton="0" quotePrefix="0" xfId="0">
      <alignment horizontal="general" vertical="bottom"/>
    </xf>
    <xf numFmtId="0" fontId="24" fillId="7" borderId="1" applyAlignment="1" pivotButton="0" quotePrefix="0" xfId="0">
      <alignment horizontal="general" vertical="bottom"/>
    </xf>
    <xf numFmtId="167" fontId="25" fillId="11" borderId="1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26" fillId="7" borderId="1" applyAlignment="1" pivotButton="0" quotePrefix="0" xfId="0">
      <alignment horizontal="general" vertical="bottom"/>
    </xf>
    <xf numFmtId="0" fontId="27" fillId="7" borderId="1" applyAlignment="1" pivotButton="0" quotePrefix="0" xfId="0">
      <alignment horizontal="general" vertical="bottom"/>
    </xf>
    <xf numFmtId="0" fontId="28" fillId="6" borderId="1" applyAlignment="1" pivotButton="0" quotePrefix="0" xfId="0">
      <alignment horizontal="general" vertical="bottom"/>
    </xf>
    <xf numFmtId="3" fontId="13" fillId="6" borderId="1" applyAlignment="1" pivotButton="0" quotePrefix="0" xfId="0">
      <alignment horizontal="general" vertical="bottom"/>
    </xf>
    <xf numFmtId="3" fontId="17" fillId="6" borderId="1" applyAlignment="1" pivotButton="0" quotePrefix="0" xfId="0">
      <alignment horizontal="general" vertical="bottom"/>
    </xf>
    <xf numFmtId="0" fontId="28" fillId="7" borderId="1" applyAlignment="1" pivotButton="0" quotePrefix="0" xfId="0">
      <alignment horizontal="general" vertical="bottom"/>
    </xf>
    <xf numFmtId="3" fontId="13" fillId="7" borderId="1" applyAlignment="1" pivotButton="0" quotePrefix="0" xfId="0">
      <alignment horizontal="general" vertical="bottom"/>
    </xf>
    <xf numFmtId="3" fontId="17" fillId="7" borderId="1" applyAlignment="1" pivotButton="0" quotePrefix="0" xfId="0">
      <alignment horizontal="general" vertical="bottom"/>
    </xf>
    <xf numFmtId="0" fontId="26" fillId="6" borderId="1" applyAlignment="1" pivotButton="0" quotePrefix="0" xfId="0">
      <alignment horizontal="general" vertical="bottom"/>
    </xf>
    <xf numFmtId="0" fontId="26" fillId="2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29" fillId="2" borderId="1" applyAlignment="1" pivotButton="0" quotePrefix="0" xfId="0">
      <alignment horizontal="general" vertical="bottom"/>
    </xf>
    <xf numFmtId="0" fontId="29" fillId="4" borderId="1" applyAlignment="1" pivotButton="0" quotePrefix="0" xfId="0">
      <alignment horizontal="left" vertical="bottom"/>
    </xf>
    <xf numFmtId="0" fontId="29" fillId="4" borderId="1" applyAlignment="1" pivotButton="0" quotePrefix="0" xfId="0">
      <alignment horizontal="center" vertical="bottom"/>
    </xf>
    <xf numFmtId="0" fontId="30" fillId="4" borderId="1" applyAlignment="1" pivotButton="0" quotePrefix="0" xfId="0">
      <alignment horizontal="center" vertical="bottom"/>
    </xf>
    <xf numFmtId="0" fontId="0" fillId="8" borderId="0" applyAlignment="1" pivotButton="0" quotePrefix="0" xfId="0">
      <alignment horizontal="general" vertical="bottom"/>
    </xf>
    <xf numFmtId="0" fontId="31" fillId="8" borderId="0" applyAlignment="1" pivotButton="0" quotePrefix="0" xfId="0">
      <alignment horizontal="general" vertical="bottom"/>
    </xf>
    <xf numFmtId="167" fontId="0" fillId="8" borderId="1" applyAlignment="1" pivotButton="0" quotePrefix="0" xfId="0">
      <alignment horizontal="general" vertical="bottom"/>
    </xf>
    <xf numFmtId="0" fontId="31" fillId="8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165" fontId="16" fillId="8" borderId="1" applyAlignment="1" pivotButton="0" quotePrefix="0" xfId="0">
      <alignment horizontal="general" vertical="bottom"/>
    </xf>
    <xf numFmtId="165" fontId="13" fillId="8" borderId="1" applyAlignment="1" pivotButton="0" quotePrefix="0" xfId="0">
      <alignment horizontal="general" vertical="bottom"/>
    </xf>
    <xf numFmtId="165" fontId="17" fillId="8" borderId="1" applyAlignment="1" pivotButton="0" quotePrefix="0" xfId="0">
      <alignment horizontal="general" vertical="bottom"/>
    </xf>
    <xf numFmtId="165" fontId="17" fillId="6" borderId="1" applyAlignment="1" pivotButton="0" quotePrefix="0" xfId="0">
      <alignment horizontal="general" vertical="bottom"/>
    </xf>
    <xf numFmtId="164" fontId="8" fillId="7" borderId="1" applyAlignment="1" pivotButton="0" quotePrefix="0" xfId="0">
      <alignment horizontal="general" vertical="bottom"/>
    </xf>
    <xf numFmtId="168" fontId="13" fillId="7" borderId="1" applyAlignment="1" pivotButton="0" quotePrefix="0" xfId="0">
      <alignment horizontal="general" vertical="bottom"/>
    </xf>
    <xf numFmtId="168" fontId="17" fillId="7" borderId="1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12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36" fillId="1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9" fontId="36" fillId="10" borderId="0" applyAlignment="1" pivotButton="0" quotePrefix="0" xfId="0">
      <alignment horizontal="general" vertical="bottom"/>
    </xf>
    <xf numFmtId="3" fontId="35" fillId="0" borderId="0" applyAlignment="1" pivotButton="0" quotePrefix="0" xfId="0">
      <alignment horizontal="general" vertical="bottom"/>
    </xf>
    <xf numFmtId="165" fontId="36" fillId="10" borderId="0" applyAlignment="1" pivotButton="0" quotePrefix="0" xfId="0">
      <alignment horizontal="general" vertical="bottom"/>
    </xf>
    <xf numFmtId="0" fontId="36" fillId="10" borderId="0" applyAlignment="1" pivotButton="0" quotePrefix="0" xfId="0">
      <alignment horizontal="general" vertical="bottom"/>
    </xf>
    <xf numFmtId="170" fontId="36" fillId="10" borderId="0" applyAlignment="1" pivotButton="0" quotePrefix="0" xfId="0">
      <alignment horizontal="general" vertical="bottom"/>
    </xf>
    <xf numFmtId="170" fontId="35" fillId="0" borderId="0" applyAlignment="1" pivotButton="0" quotePrefix="0" xfId="0">
      <alignment horizontal="general" vertical="bottom"/>
    </xf>
    <xf numFmtId="165" fontId="35" fillId="0" borderId="0" applyAlignment="1" pivotButton="0" quotePrefix="0" xfId="0">
      <alignment horizontal="general" vertical="bottom"/>
    </xf>
    <xf numFmtId="169" fontId="35" fillId="0" borderId="0" applyAlignment="1" pivotButton="0" quotePrefix="0" xfId="0">
      <alignment horizontal="general" vertical="bottom"/>
    </xf>
    <xf numFmtId="0" fontId="34" fillId="0" borderId="3" applyAlignment="1" pivotButton="0" quotePrefix="0" xfId="0">
      <alignment horizontal="general" vertical="bottom"/>
    </xf>
    <xf numFmtId="3" fontId="34" fillId="0" borderId="3" applyAlignment="1" pivotButton="0" quotePrefix="0" xfId="0">
      <alignment horizontal="general" vertical="bottom"/>
    </xf>
    <xf numFmtId="165" fontId="34" fillId="0" borderId="3" applyAlignment="1" pivotButton="0" quotePrefix="0" xfId="0">
      <alignment horizontal="general" vertical="bottom"/>
    </xf>
    <xf numFmtId="170" fontId="38" fillId="0" borderId="0" applyAlignment="1" pivotButton="0" quotePrefix="0" xfId="0">
      <alignment horizontal="general" vertical="bottom"/>
    </xf>
    <xf numFmtId="171" fontId="36" fillId="10" borderId="0" applyAlignment="1" pivotButton="0" quotePrefix="0" xfId="0">
      <alignment horizontal="general" vertical="bottom"/>
    </xf>
    <xf numFmtId="171" fontId="35" fillId="0" borderId="0" applyAlignment="1" pivotButton="0" quotePrefix="0" xfId="0">
      <alignment horizontal="general" vertical="bottom"/>
    </xf>
    <xf numFmtId="0" fontId="37" fillId="13" borderId="0" applyAlignment="1" pivotButton="0" quotePrefix="0" xfId="0">
      <alignment horizontal="general" vertical="bottom"/>
    </xf>
    <xf numFmtId="172" fontId="35" fillId="0" borderId="0" applyAlignment="1" pivotButton="0" quotePrefix="0" xfId="0">
      <alignment horizontal="general" vertical="bottom"/>
    </xf>
    <xf numFmtId="1" fontId="36" fillId="10" borderId="0" applyAlignment="1" pivotButton="0" quotePrefix="0" xfId="0">
      <alignment horizontal="general" vertical="bottom"/>
    </xf>
    <xf numFmtId="1" fontId="35" fillId="0" borderId="0" applyAlignment="1" pivotButton="0" quotePrefix="0" xfId="0">
      <alignment horizontal="general" vertical="bottom"/>
    </xf>
    <xf numFmtId="170" fontId="33" fillId="0" borderId="0" applyAlignment="1" pivotButton="0" quotePrefix="0" xfId="0">
      <alignment horizontal="general" vertical="bottom"/>
    </xf>
    <xf numFmtId="3" fontId="38" fillId="0" borderId="0" applyAlignment="1" pivotButton="0" quotePrefix="0" xfId="0">
      <alignment horizontal="general" vertical="bottom"/>
    </xf>
    <xf numFmtId="165" fontId="38" fillId="0" borderId="0" applyAlignment="1" pivotButton="0" quotePrefix="0" xfId="0">
      <alignment horizontal="general" vertical="bottom"/>
    </xf>
    <xf numFmtId="173" fontId="3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CCFF"/>
      <rgbColor rgb="FF888888"/>
      <rgbColor rgb="FF9999FF"/>
      <rgbColor rgb="FFC05020"/>
      <rgbColor rgb="FFF2F7FB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E8E8E8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6100"/>
      <rgbColor rgb="FF333300"/>
      <rgbColor rgb="FF8855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5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C22" activeCellId="0" sqref="C22"/>
    </sheetView>
  </sheetViews>
  <sheetFormatPr baseColWidth="8" defaultColWidth="8.5703125" defaultRowHeight="14.25" customHeight="0" zeroHeight="0" outlineLevelRow="0"/>
  <cols>
    <col width="42.14" customWidth="1" style="159" min="2" max="2"/>
    <col width="100" customWidth="1" style="159" min="3" max="3"/>
  </cols>
  <sheetData>
    <row r="1" ht="17.25" customHeight="1" s="160">
      <c r="A1" s="161" t="inlineStr">
        <is>
          <t>ARTISO AI — SaaS Financial Model v3.0 (Apr 2, 2026)</t>
        </is>
      </c>
    </row>
    <row r="3" ht="15" customHeight="1" s="160">
      <c r="B3" s="162" t="inlineStr">
        <is>
          <t>MODEL PURPOSE</t>
        </is>
      </c>
      <c r="C3" s="163" t="inlineStr">
        <is>
          <t>Bottom-up financial model with modular cross-sell revenue engine for Artiso AI — the Agentic OS for Fashion.</t>
        </is>
      </c>
    </row>
    <row r="4" ht="15" customHeight="1" s="160">
      <c r="B4" s="162" t="inlineStr">
        <is>
          <t>HORIZON</t>
        </is>
      </c>
      <c r="C4" s="163" t="inlineStr">
        <is>
          <t>Monthly Year 1 (Apr-Dec 2026), Quarterly Years 2-5 (Q1 2027 – Q4 2030)</t>
        </is>
      </c>
    </row>
    <row r="5" ht="15" customHeight="1" s="160">
      <c r="B5" s="162" t="inlineStr">
        <is>
          <t>SCENARIO</t>
        </is>
      </c>
      <c r="C5" s="163" t="inlineStr">
        <is>
          <t>Base / Upside / Downside — switch in 1_Assumptions row 150</t>
        </is>
      </c>
    </row>
    <row r="7" ht="15" customHeight="1" s="160">
      <c r="B7" s="162" t="inlineStr">
        <is>
          <t>SHEETS</t>
        </is>
      </c>
    </row>
    <row r="8" ht="15" customHeight="1" s="160">
      <c r="B8" s="164" t="inlineStr">
        <is>
          <t>1_Assumptions</t>
        </is>
      </c>
      <c r="C8" s="163" t="inlineStr">
        <is>
          <t>ALL parameters: module pricing (5 modules × 3 tiers), AE capacity, cross-sell rates, churn, COGS, OpEx, BS/tax. Edit ONLY blue cells.</t>
        </is>
      </c>
    </row>
    <row r="9" ht="15" customHeight="1" s="160">
      <c r="B9" s="164" t="inlineStr">
        <is>
          <t>2_Projections</t>
        </is>
      </c>
      <c r="C9" s="163" t="inlineStr">
        <is>
          <t>Full P&amp;L: sales capacity → new logos → module penetration → revenue (setup + sub + credits + PS) → COGS → gross profit → OpEx → EBITDA → EBIT → taxes → NOPAT. Annual summary with FY2024-2025 estimates.</t>
        </is>
      </c>
    </row>
    <row r="10" ht="15" customHeight="1" s="160">
      <c r="B10" s="164" t="inlineStr">
        <is>
          <t>3_CashFlow</t>
        </is>
      </c>
      <c r="C10" s="163" t="inlineStr">
        <is>
          <t>Cash Flow Statement: EBIT → + D&amp;A → − ΔWC → Operating CF → − CapEx → FCFF → + Financing → Ending Cash. Runway &amp; fundraising alerts.</t>
        </is>
      </c>
    </row>
    <row r="11" ht="15" customHeight="1" s="160">
      <c r="B11" s="164" t="inlineStr">
        <is>
          <t>4_BalanceSheet</t>
        </is>
      </c>
      <c r="C11" s="163" t="inlineStr">
        <is>
          <t>Balance Sheet: Cash + AR + Fixed Assets = AP + Deferred Rev + Share Capital + Retained Earnings. BS check row verifies Assets = L+E.</t>
        </is>
      </c>
    </row>
    <row r="12" ht="14.25" customHeight="1" s="160">
      <c r="B12" s="159" t="inlineStr">
        <is>
          <t>5_Headcount</t>
        </is>
      </c>
      <c r="C12" s="159" t="inlineStr">
        <is>
          <t>Personnel plan: 23 roles, TRUE/FALSE hire flags, department cost summaries (S&amp;M, P&amp;E, G&amp;A). Active AE Count in row 63.</t>
        </is>
      </c>
    </row>
    <row r="13" ht="15" customHeight="1" s="160">
      <c r="B13" s="162" t="inlineStr">
        <is>
          <t>6_UnitEconomics</t>
        </is>
      </c>
      <c r="C13" s="159" t="inlineStr">
        <is>
          <t>CAC, ARPU, Churn (assumption-driven), LTV, LTV/CAC, Payback, Burn Multiple, Magic Number, Rule of 40. All formula-driven.</t>
        </is>
      </c>
    </row>
    <row r="14" ht="15" customHeight="1" s="160">
      <c r="B14" s="164" t="inlineStr">
        <is>
          <t>M1: AI Design (Brand DNA)</t>
        </is>
      </c>
      <c r="C14" s="163" t="inlineStr">
        <is>
          <t>Launch: LIVE — Core landing module. 100% of new logos adopt. Setup + sub + shared credits.</t>
        </is>
      </c>
    </row>
    <row r="15" ht="15" customHeight="1" s="160">
      <c r="B15" s="164" t="inlineStr">
        <is>
          <t>M2: Pre-Production</t>
        </is>
      </c>
      <c r="C15" s="163" t="inlineStr">
        <is>
          <t>Launch: Jul 2026 — Tech packs, patternmaking. Cross-sold to M1 customers.</t>
        </is>
      </c>
    </row>
    <row r="16" ht="15" customHeight="1" s="160">
      <c r="B16" s="164" t="inlineStr">
        <is>
          <t>M3: Visual Content (Internal)</t>
        </is>
      </c>
      <c r="C16" s="163" t="inlineStr">
        <is>
          <t>Launch: Oct 2026 — Lookbooks, merch docs. Zero-setup from Brand DNA.</t>
        </is>
      </c>
    </row>
    <row r="17" ht="15" customHeight="1" s="160">
      <c r="B17" s="164" t="inlineStr">
        <is>
          <t>M4: Trend Analysis</t>
        </is>
      </c>
      <c r="C17" s="163" t="inlineStr">
        <is>
          <t>Launch: Q1 2027 — Brand-specific forecasting. Upstream intelligence module.</t>
        </is>
      </c>
    </row>
    <row r="18" ht="15" customHeight="1" s="160">
      <c r="B18" s="164" t="inlineStr">
        <is>
          <t>M5: Visual Content (External)</t>
        </is>
      </c>
      <c r="C18" s="163" t="inlineStr">
        <is>
          <t>Launch: Q2 2027 — Campaign imagery, PDP, showroom. Highest ACV expansion.</t>
        </is>
      </c>
    </row>
    <row r="20" ht="15" customHeight="1" s="160">
      <c r="B20" s="162" t="inlineStr">
        <is>
          <t>REVENUE STRUCTURE (per module per customer)</t>
        </is>
      </c>
    </row>
    <row r="21" ht="15" customHeight="1" s="160">
      <c r="C21" s="163" t="inlineStr">
        <is>
          <t>① Setup Fee: One-time per module adoption (varies by tier and module)</t>
        </is>
      </c>
    </row>
    <row r="22" ht="15" customHeight="1" s="160">
      <c r="C22" s="163" t="inlineStr">
        <is>
          <t>② Monthly Subscription: Recurring per module (varies by tier and module)</t>
        </is>
      </c>
    </row>
    <row r="23" ht="15" customHeight="1" s="160">
      <c r="C23" s="163" t="inlineStr">
        <is>
          <t>③ Credits: Shared pool across all modules. Consumption grows with # modules adopted.</t>
        </is>
      </c>
    </row>
    <row r="25" ht="15" customHeight="1" s="160">
      <c r="B25" s="162" t="inlineStr">
        <is>
          <t>BOTTOM-UP SALES ENGINE</t>
        </is>
      </c>
    </row>
    <row r="26" ht="15" customHeight="1" s="160">
      <c r="C26" s="163" t="inlineStr">
        <is>
          <t>Sales capacity = 3 founders (% time on sales) + hired AEs (from headcount plan)</t>
        </is>
      </c>
    </row>
    <row r="27" ht="15" customHeight="1" s="160">
      <c r="C27" s="163" t="inlineStr">
        <is>
          <t>AE time split: (1 − cross_sell_%) for net-new logos + cross_sell_% for module upsells</t>
        </is>
      </c>
    </row>
    <row r="28" ht="15" customHeight="1" s="160">
      <c r="C28" s="163" t="inlineStr">
        <is>
          <t>New logos = MIN(lead funnel output, AE capacity for net-new)</t>
        </is>
      </c>
    </row>
    <row r="29" ht="15" customHeight="1" s="160">
      <c r="C29" s="163" t="n"/>
    </row>
    <row r="105" ht="14.25" customHeight="1" s="160">
      <c r="C105" s="165" t="n"/>
      <c r="D105" s="165" t="n"/>
      <c r="E105" s="165" t="n"/>
      <c r="F105" s="16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0"/>
  <sheetViews>
    <sheetView showFormulas="0" showGridLines="1" showRowColHeaders="1" showZeros="1" rightToLeft="0" tabSelected="0" showOutlineSymbols="1" defaultGridColor="1" view="normal" topLeftCell="A1" colorId="64" zoomScale="86" zoomScaleNormal="86" zoomScalePageLayoutView="100" workbookViewId="0">
      <pane xSplit="2" ySplit="2" topLeftCell="C51" activePane="bottomRight" state="frozen"/>
      <selection pane="topLeft" activeCell="A1" activeCellId="0" sqref="A1"/>
      <selection pane="topRight" activeCell="C1" activeCellId="0" sqref="C1"/>
      <selection pane="bottomLeft" activeCell="A51" activeCellId="0" sqref="A51"/>
      <selection pane="bottomRight" activeCell="D70" activeCellId="0" sqref="D70"/>
    </sheetView>
  </sheetViews>
  <sheetFormatPr baseColWidth="8" defaultColWidth="8.5703125" defaultRowHeight="14.25" customHeight="0" zeroHeight="0" outlineLevelRow="0"/>
  <cols>
    <col width="3" customWidth="1" style="159" min="1" max="1"/>
    <col width="42.14" customWidth="1" style="159" min="2" max="2"/>
    <col width="14" customWidth="1" style="159" min="3" max="6"/>
    <col width="100" customWidth="1" style="159" min="7" max="7"/>
  </cols>
  <sheetData>
    <row r="1" ht="15" customHeight="1" s="160">
      <c r="A1" s="166" t="inlineStr">
        <is>
          <t xml:space="preserve">  1_Assumptions  |  All Parameters |  Model: Apr 2026 → Q4 2030</t>
        </is>
      </c>
      <c r="B1" s="167" t="n"/>
      <c r="C1" s="167" t="n"/>
      <c r="D1" s="167" t="n"/>
      <c r="E1" s="167" t="n"/>
      <c r="F1" s="167" t="n"/>
      <c r="G1" s="167" t="n"/>
    </row>
    <row r="2" ht="15" customHeight="1" s="160">
      <c r="B2" s="168" t="inlineStr">
        <is>
          <t>Parameter</t>
        </is>
      </c>
      <c r="C2" s="168" t="inlineStr">
        <is>
          <t>Base Case</t>
        </is>
      </c>
      <c r="D2" s="168" t="inlineStr">
        <is>
          <t>Upside</t>
        </is>
      </c>
      <c r="E2" s="168" t="inlineStr">
        <is>
          <t>Downside</t>
        </is>
      </c>
      <c r="F2" s="168" t="inlineStr">
        <is>
          <t>Active</t>
        </is>
      </c>
      <c r="G2" s="168" t="inlineStr">
        <is>
          <t>Notes</t>
        </is>
      </c>
    </row>
    <row r="3" ht="15" customHeight="1" s="160">
      <c r="A3" s="169" t="n"/>
      <c r="B3" s="170" t="n"/>
      <c r="C3" s="171" t="n"/>
      <c r="D3" s="169" t="n"/>
      <c r="E3" s="169" t="n"/>
      <c r="F3" s="169" t="n"/>
      <c r="G3" s="172" t="n"/>
    </row>
    <row r="4" ht="15" customHeight="1" s="160">
      <c r="B4" s="173" t="inlineStr">
        <is>
          <t>A. MODULE DEFINITIONS &amp; LAUNCH TIMELINE</t>
        </is>
      </c>
      <c r="C4" s="174" t="n"/>
      <c r="D4" s="174" t="n"/>
      <c r="E4" s="174" t="n"/>
      <c r="F4" s="174" t="n"/>
    </row>
    <row r="5" ht="15" customHeight="1" s="160">
      <c r="B5" s="175" t="inlineStr">
        <is>
          <t xml:space="preserve">  Module Names &amp; Launch Periods (1 = available from that period onward)</t>
        </is>
      </c>
    </row>
    <row r="6" ht="15" customHeight="1" s="160">
      <c r="A6" s="176" t="n"/>
      <c r="B6" s="177" t="inlineStr">
        <is>
          <t>Module</t>
        </is>
      </c>
      <c r="C6" s="178" t="inlineStr">
        <is>
          <t>Launch Period</t>
        </is>
      </c>
      <c r="D6" s="179" t="inlineStr">
        <is>
          <t>Period Index</t>
        </is>
      </c>
      <c r="E6" s="179" t="inlineStr">
        <is>
          <t>Status</t>
        </is>
      </c>
      <c r="F6" s="176" t="n"/>
      <c r="G6" s="180" t="inlineStr">
        <is>
          <t>Description</t>
        </is>
      </c>
    </row>
    <row r="7" ht="15" customHeight="1" s="160">
      <c r="A7" s="181" t="n"/>
      <c r="B7" s="182" t="inlineStr">
        <is>
          <t xml:space="preserve">  M1: AI Design (Brand DNA)</t>
        </is>
      </c>
      <c r="C7" s="183" t="inlineStr">
        <is>
          <t>Apr 2026</t>
        </is>
      </c>
      <c r="D7" s="184" t="n">
        <v>1</v>
      </c>
      <c r="E7" s="181" t="inlineStr">
        <is>
          <t>LIVE</t>
        </is>
      </c>
      <c r="F7" s="181" t="n"/>
      <c r="G7" s="185" t="inlineStr">
        <is>
          <t>Core landing module. Sketch-to-render, product photography, prints/patterns. Brand DNA personalized.</t>
        </is>
      </c>
    </row>
    <row r="8" ht="15" customHeight="1" s="160">
      <c r="A8" s="176" t="n"/>
      <c r="B8" s="177" t="inlineStr">
        <is>
          <t xml:space="preserve">  M2: Pre-Production &amp; Engineering</t>
        </is>
      </c>
      <c r="C8" s="178" t="inlineStr">
        <is>
          <t>Jul 2026</t>
        </is>
      </c>
      <c r="D8" s="186" t="n">
        <v>4</v>
      </c>
      <c r="E8" s="176" t="inlineStr">
        <is>
          <t>Roadmap</t>
        </is>
      </c>
      <c r="F8" s="176" t="n"/>
      <c r="G8" s="185" t="inlineStr">
        <is>
          <t>Tech flat drawing, tech packs, 2D/3D patternmaking, data-driven costing.</t>
        </is>
      </c>
    </row>
    <row r="9" ht="15" customHeight="1" s="160">
      <c r="A9" s="181" t="n"/>
      <c r="B9" s="182" t="inlineStr">
        <is>
          <t xml:space="preserve">  M3: Visual Content (Internal)</t>
        </is>
      </c>
      <c r="C9" s="183" t="inlineStr">
        <is>
          <t>Oct 2026</t>
        </is>
      </c>
      <c r="D9" s="184" t="n">
        <v>7</v>
      </c>
      <c r="E9" s="181" t="inlineStr">
        <is>
          <t>Roadmap</t>
        </is>
      </c>
      <c r="F9" s="181" t="n"/>
      <c r="G9" s="185" t="inlineStr">
        <is>
          <t>Lookbooks, visual merchandising docs, styling guides. Zero-setup from Brand DNA.</t>
        </is>
      </c>
    </row>
    <row r="10" ht="15" customHeight="1" s="160">
      <c r="A10" s="176" t="n"/>
      <c r="B10" s="177" t="inlineStr">
        <is>
          <t xml:space="preserve">  M4: Trend Analysis</t>
        </is>
      </c>
      <c r="C10" s="178" t="inlineStr">
        <is>
          <t>Q1 2027</t>
        </is>
      </c>
      <c r="D10" s="186" t="n">
        <v>10</v>
      </c>
      <c r="E10" s="176" t="inlineStr">
        <is>
          <t>Roadmap</t>
        </is>
      </c>
      <c r="F10" s="176" t="n"/>
      <c r="G10" s="185" t="inlineStr">
        <is>
          <t>AI-driven trend identification, brand-specific forecasting via Layer 4 memory.</t>
        </is>
      </c>
    </row>
    <row r="11" ht="15" customHeight="1" s="160">
      <c r="A11" s="181" t="n"/>
      <c r="B11" s="182" t="inlineStr">
        <is>
          <t xml:space="preserve">  M5: Visual Content (External)</t>
        </is>
      </c>
      <c r="C11" s="183" t="inlineStr">
        <is>
          <t>Q2 2027</t>
        </is>
      </c>
      <c r="D11" s="184" t="n">
        <v>13</v>
      </c>
      <c r="E11" s="181" t="inlineStr">
        <is>
          <t>Roadmap</t>
        </is>
      </c>
      <c r="F11" s="181" t="n"/>
      <c r="G11" s="185" t="inlineStr">
        <is>
          <t>Showroom imagery, PDP, social media campaigns, AI photography.</t>
        </is>
      </c>
    </row>
    <row r="13" ht="15" customHeight="1" s="160">
      <c r="A13" s="187" t="n"/>
      <c r="B13" s="188" t="inlineStr">
        <is>
          <t>B. MODULE PRICING — SETUP FEES (€, one-time per module adoption per customer)</t>
        </is>
      </c>
      <c r="C13" s="187" t="n"/>
      <c r="D13" s="187" t="n"/>
      <c r="E13" s="187" t="n"/>
      <c r="F13" s="187" t="n"/>
    </row>
    <row r="14" ht="15" customHeight="1" s="160">
      <c r="A14" s="187" t="n"/>
      <c r="B14" s="188" t="inlineStr">
        <is>
          <t xml:space="preserve">  SME Tier Setup Fees</t>
        </is>
      </c>
      <c r="C14" s="187" t="n"/>
      <c r="D14" s="187" t="n"/>
      <c r="E14" s="187" t="n"/>
      <c r="F14" s="187" t="n"/>
    </row>
    <row r="15" ht="15" customHeight="1" s="160">
      <c r="A15" s="176" t="n"/>
      <c r="B15" s="177" t="inlineStr">
        <is>
          <t xml:space="preserve">    M1 Setup — SME (€)</t>
        </is>
      </c>
      <c r="C15" s="178" t="n">
        <v>3900</v>
      </c>
      <c r="D15" s="186" t="n">
        <v>4900</v>
      </c>
      <c r="E15" s="186" t="n">
        <v>1900</v>
      </c>
      <c r="F15" s="177">
        <f>IF($C$150="Upside",$D15,IF($C$150="Downside",$E15,$C15))</f>
        <v/>
      </c>
      <c r="G15" s="185" t="inlineStr">
        <is>
          <t>Brand DNA onboarding. Benchmarked: Intercom €1.5-5K, HubSpot SMB €2-6K.</t>
        </is>
      </c>
    </row>
    <row r="16" ht="15" customHeight="1" s="160">
      <c r="A16" s="181" t="n"/>
      <c r="B16" s="182" t="inlineStr">
        <is>
          <t xml:space="preserve">    M2 Setup — SME (€)</t>
        </is>
      </c>
      <c r="C16" s="183" t="n">
        <v>1500</v>
      </c>
      <c r="D16" s="184" t="n">
        <v>2000</v>
      </c>
      <c r="E16" s="184" t="n">
        <v>800</v>
      </c>
      <c r="F16" s="182">
        <f>IF($C$150="Upside",$D16,IF($C$150="Downside",$E16,$C16))</f>
        <v/>
      </c>
      <c r="G16" s="185" t="inlineStr">
        <is>
          <t>Pre-prod module setup. Tech pack templates + supplier config.</t>
        </is>
      </c>
    </row>
    <row r="17" ht="15" customHeight="1" s="160">
      <c r="A17" s="176" t="n"/>
      <c r="B17" s="177" t="inlineStr">
        <is>
          <t xml:space="preserve">    M3 Setup — SME (€)</t>
        </is>
      </c>
      <c r="C17" s="178" t="n">
        <v>1000</v>
      </c>
      <c r="D17" s="186" t="n">
        <v>1500</v>
      </c>
      <c r="E17" s="186" t="n">
        <v>500</v>
      </c>
      <c r="F17" s="177">
        <f>IF($C$150="Upside",$D17,IF($C$150="Downside",$E17,$C17))</f>
        <v/>
      </c>
      <c r="G17" s="185" t="inlineStr">
        <is>
          <t>Internal visual module. Lookbook template config.</t>
        </is>
      </c>
    </row>
    <row r="18" ht="15" customHeight="1" s="160">
      <c r="A18" s="181" t="n"/>
      <c r="B18" s="182" t="inlineStr">
        <is>
          <t xml:space="preserve">    M4 Setup — SME (€)</t>
        </is>
      </c>
      <c r="C18" s="183" t="n">
        <v>1200</v>
      </c>
      <c r="D18" s="184" t="n">
        <v>1500</v>
      </c>
      <c r="E18" s="184" t="n">
        <v>800</v>
      </c>
      <c r="F18" s="182">
        <f>IF($C$150="Upside",$D18,IF($C$150="Downside",$E18,$C18))</f>
        <v/>
      </c>
      <c r="G18" s="185" t="inlineStr">
        <is>
          <t>Trend analysis setup. Trend taxonomy + brand preference mapping.</t>
        </is>
      </c>
    </row>
    <row r="19" ht="15" customHeight="1" s="160">
      <c r="A19" s="176" t="n"/>
      <c r="B19" s="177" t="inlineStr">
        <is>
          <t xml:space="preserve">    M5 Setup — SME (€)</t>
        </is>
      </c>
      <c r="C19" s="178" t="n">
        <v>1500</v>
      </c>
      <c r="D19" s="186" t="n">
        <v>2000</v>
      </c>
      <c r="E19" s="186" t="n">
        <v>800</v>
      </c>
      <c r="F19" s="177">
        <f>IF($C$150="Upside",$D19,IF($C$150="Downside",$E19,$C19))</f>
        <v/>
      </c>
      <c r="G19" s="185" t="inlineStr">
        <is>
          <t>External visual module. Campaign template + channel config.</t>
        </is>
      </c>
    </row>
    <row r="21" ht="15" customHeight="1" s="160">
      <c r="A21" s="187" t="n"/>
      <c r="B21" s="188" t="inlineStr">
        <is>
          <t xml:space="preserve">  Large Tier Setup Fees</t>
        </is>
      </c>
      <c r="C21" s="187" t="n"/>
      <c r="D21" s="187" t="n"/>
      <c r="E21" s="187" t="n"/>
      <c r="F21" s="187" t="n"/>
    </row>
    <row r="22" ht="15" customHeight="1" s="160">
      <c r="A22" s="176" t="n"/>
      <c r="B22" s="177" t="inlineStr">
        <is>
          <t xml:space="preserve">    M1 Setup — Large (€)</t>
        </is>
      </c>
      <c r="C22" s="178" t="n">
        <v>6000</v>
      </c>
      <c r="D22" s="186" t="n">
        <v>8000</v>
      </c>
      <c r="E22" s="186" t="n">
        <v>2900</v>
      </c>
      <c r="F22" s="177">
        <f>IF($C$150="Upside",$D22,IF($C$150="Downside",$E22,$C22))</f>
        <v/>
      </c>
      <c r="G22" s="189" t="n"/>
    </row>
    <row r="23" ht="15" customHeight="1" s="160">
      <c r="A23" s="181" t="n"/>
      <c r="B23" s="182" t="inlineStr">
        <is>
          <t xml:space="preserve">    M2 Setup — Large (€)</t>
        </is>
      </c>
      <c r="C23" s="183" t="n">
        <v>3000</v>
      </c>
      <c r="D23" s="184" t="n">
        <v>4000</v>
      </c>
      <c r="E23" s="184" t="n">
        <v>1500</v>
      </c>
      <c r="F23" s="182">
        <f>IF($C$150="Upside",$D23,IF($C$150="Downside",$E23,$C23))</f>
        <v/>
      </c>
      <c r="G23" s="189" t="n"/>
    </row>
    <row r="24" ht="15" customHeight="1" s="160">
      <c r="A24" s="176" t="n"/>
      <c r="B24" s="177" t="inlineStr">
        <is>
          <t xml:space="preserve">    M3 Setup — Large (€)</t>
        </is>
      </c>
      <c r="C24" s="178" t="n">
        <v>2000</v>
      </c>
      <c r="D24" s="186" t="n">
        <v>3000</v>
      </c>
      <c r="E24" s="186" t="n">
        <v>1000</v>
      </c>
      <c r="F24" s="177">
        <f>IF($C$150="Upside",$D24,IF($C$150="Downside",$E24,$C24))</f>
        <v/>
      </c>
      <c r="G24" s="189" t="n"/>
    </row>
    <row r="25" ht="15" customHeight="1" s="160">
      <c r="A25" s="181" t="n"/>
      <c r="B25" s="182" t="inlineStr">
        <is>
          <t xml:space="preserve">    M4 Setup — Large (€)</t>
        </is>
      </c>
      <c r="C25" s="183" t="n">
        <v>2500</v>
      </c>
      <c r="D25" s="184" t="n">
        <v>3500</v>
      </c>
      <c r="E25" s="184" t="n">
        <v>1500</v>
      </c>
      <c r="F25" s="182">
        <f>IF($C$150="Upside",$D25,IF($C$150="Downside",$E25,$C25))</f>
        <v/>
      </c>
      <c r="G25" s="189" t="n"/>
    </row>
    <row r="26" ht="15" customHeight="1" s="160">
      <c r="A26" s="176" t="n"/>
      <c r="B26" s="177" t="inlineStr">
        <is>
          <t xml:space="preserve">    M5 Setup — Large (€)</t>
        </is>
      </c>
      <c r="C26" s="178" t="n">
        <v>3000</v>
      </c>
      <c r="D26" s="186" t="n">
        <v>4000</v>
      </c>
      <c r="E26" s="186" t="n">
        <v>1500</v>
      </c>
      <c r="F26" s="177">
        <f>IF($C$150="Upside",$D26,IF($C$150="Downside",$E26,$C26))</f>
        <v/>
      </c>
      <c r="G26" s="189" t="n"/>
    </row>
    <row r="28" ht="15" customHeight="1" s="160">
      <c r="A28" s="187" t="n"/>
      <c r="B28" s="188" t="inlineStr">
        <is>
          <t xml:space="preserve">  Enterprise Tier Setup Fees</t>
        </is>
      </c>
      <c r="C28" s="187" t="n"/>
      <c r="D28" s="187" t="n"/>
      <c r="E28" s="187" t="n"/>
      <c r="F28" s="187" t="n"/>
    </row>
    <row r="29" ht="15" customHeight="1" s="160">
      <c r="A29" s="176" t="n"/>
      <c r="B29" s="177" t="inlineStr">
        <is>
          <t xml:space="preserve">    M1 Setup — Enterprise (€)</t>
        </is>
      </c>
      <c r="C29" s="178" t="n">
        <v>9000</v>
      </c>
      <c r="D29" s="186" t="n">
        <v>12000</v>
      </c>
      <c r="E29" s="186" t="n">
        <v>4000</v>
      </c>
      <c r="F29" s="177">
        <f>IF($C$150="Upside",$D29,IF($C$150="Downside",$E29,$C29))</f>
        <v/>
      </c>
      <c r="G29" s="189" t="n"/>
    </row>
    <row r="30" ht="15" customHeight="1" s="160">
      <c r="A30" s="181" t="n"/>
      <c r="B30" s="182" t="inlineStr">
        <is>
          <t xml:space="preserve">    M2 Setup — Enterprise (€)</t>
        </is>
      </c>
      <c r="C30" s="183" t="n">
        <v>5000</v>
      </c>
      <c r="D30" s="184" t="n">
        <v>7000</v>
      </c>
      <c r="E30" s="184" t="n">
        <v>2500</v>
      </c>
      <c r="F30" s="182">
        <f>IF($C$150="Upside",$D30,IF($C$150="Downside",$E30,$C30))</f>
        <v/>
      </c>
      <c r="G30" s="189" t="n"/>
    </row>
    <row r="31" ht="15" customHeight="1" s="160">
      <c r="A31" s="176" t="n"/>
      <c r="B31" s="177" t="inlineStr">
        <is>
          <t xml:space="preserve">    M3 Setup — Enterprise (€)</t>
        </is>
      </c>
      <c r="C31" s="178" t="n">
        <v>3500</v>
      </c>
      <c r="D31" s="186" t="n">
        <v>5000</v>
      </c>
      <c r="E31" s="186" t="n">
        <v>1500</v>
      </c>
      <c r="F31" s="177">
        <f>IF($C$150="Upside",$D31,IF($C$150="Downside",$E31,$C31))</f>
        <v/>
      </c>
      <c r="G31" s="189" t="n"/>
    </row>
    <row r="32" ht="15" customHeight="1" s="160">
      <c r="A32" s="181" t="n"/>
      <c r="B32" s="182" t="inlineStr">
        <is>
          <t xml:space="preserve">    M4 Setup — Enterprise (€)</t>
        </is>
      </c>
      <c r="C32" s="183" t="n">
        <v>4000</v>
      </c>
      <c r="D32" s="184" t="n">
        <v>5500</v>
      </c>
      <c r="E32" s="184" t="n">
        <v>2000</v>
      </c>
      <c r="F32" s="182">
        <f>IF($C$150="Upside",$D32,IF($C$150="Downside",$E32,$C32))</f>
        <v/>
      </c>
      <c r="G32" s="189" t="n"/>
    </row>
    <row r="33" ht="15" customHeight="1" s="160">
      <c r="A33" s="176" t="n"/>
      <c r="B33" s="177" t="inlineStr">
        <is>
          <t xml:space="preserve">    M5 Setup — Enterprise (€)</t>
        </is>
      </c>
      <c r="C33" s="178" t="n">
        <v>5000</v>
      </c>
      <c r="D33" s="186" t="n">
        <v>7000</v>
      </c>
      <c r="E33" s="186" t="n">
        <v>2500</v>
      </c>
      <c r="F33" s="177">
        <f>IF($C$150="Upside",$D33,IF($C$150="Downside",$E33,$C33))</f>
        <v/>
      </c>
      <c r="G33" s="189" t="n"/>
    </row>
    <row r="35" ht="15" customHeight="1" s="160">
      <c r="A35" s="187" t="n"/>
      <c r="B35" s="188" t="inlineStr">
        <is>
          <t>C. MODULE PRICING — MONTHLY SUBSCRIPTIONS (€/month per module per customer)</t>
        </is>
      </c>
      <c r="C35" s="187" t="n"/>
      <c r="D35" s="187" t="n"/>
      <c r="E35" s="187" t="n"/>
      <c r="F35" s="187" t="n"/>
    </row>
    <row r="36" ht="15" customHeight="1" s="160">
      <c r="A36" s="187" t="n"/>
      <c r="B36" s="188" t="inlineStr">
        <is>
          <t xml:space="preserve">  SME Monthly Subscriptions</t>
        </is>
      </c>
      <c r="C36" s="187" t="n"/>
      <c r="D36" s="187" t="n"/>
      <c r="E36" s="187" t="n"/>
      <c r="F36" s="187" t="n"/>
    </row>
    <row r="37" ht="15" customHeight="1" s="160">
      <c r="A37" s="176" t="n"/>
      <c r="B37" s="177" t="inlineStr">
        <is>
          <t xml:space="preserve">    M1 Sub — SME (€/mo)</t>
        </is>
      </c>
      <c r="C37" s="178" t="n">
        <v>208</v>
      </c>
      <c r="D37" s="186" t="n">
        <v>299</v>
      </c>
      <c r="E37" s="186" t="n">
        <v>149</v>
      </c>
      <c r="F37" s="177">
        <f>IF($C$150="Upside",$D37,IF($C$150="Downside",$E37,$C37))</f>
        <v/>
      </c>
      <c r="G37" s="185" t="inlineStr">
        <is>
          <t>Core platform MRR. Comparable: Typeform €25/user×8=€200; Figma €45×5=€225.</t>
        </is>
      </c>
    </row>
    <row r="38" ht="15" customHeight="1" s="160">
      <c r="A38" s="181" t="n"/>
      <c r="B38" s="182" t="inlineStr">
        <is>
          <t xml:space="preserve">    M2 Sub — SME (€/mo)</t>
        </is>
      </c>
      <c r="C38" s="183" t="n">
        <v>150</v>
      </c>
      <c r="D38" s="184" t="n">
        <v>200</v>
      </c>
      <c r="E38" s="184" t="n">
        <v>100</v>
      </c>
      <c r="F38" s="182">
        <f>IF($C$150="Upside",$D38,IF($C$150="Downside",$E38,$C38))</f>
        <v/>
      </c>
      <c r="G38" s="185" t="inlineStr">
        <is>
          <t>Pre-prod module. Tech pack generation + pattern tools.</t>
        </is>
      </c>
    </row>
    <row r="39" ht="15" customHeight="1" s="160">
      <c r="A39" s="176" t="n"/>
      <c r="B39" s="177" t="inlineStr">
        <is>
          <t xml:space="preserve">    M3 Sub — SME (€/mo)</t>
        </is>
      </c>
      <c r="C39" s="178" t="n">
        <v>100</v>
      </c>
      <c r="D39" s="186" t="n">
        <v>150</v>
      </c>
      <c r="E39" s="186" t="n">
        <v>60</v>
      </c>
      <c r="F39" s="177">
        <f>IF($C$150="Upside",$D39,IF($C$150="Downside",$E39,$C39))</f>
        <v/>
      </c>
      <c r="G39" s="185" t="inlineStr">
        <is>
          <t>Internal visual tools. Lookbook + merch doc generation.</t>
        </is>
      </c>
    </row>
    <row r="40" ht="15" customHeight="1" s="160">
      <c r="A40" s="181" t="n"/>
      <c r="B40" s="182" t="inlineStr">
        <is>
          <t xml:space="preserve">    M4 Sub — SME (€/mo)</t>
        </is>
      </c>
      <c r="C40" s="183" t="n">
        <v>120</v>
      </c>
      <c r="D40" s="184" t="n">
        <v>160</v>
      </c>
      <c r="E40" s="184" t="n">
        <v>80</v>
      </c>
      <c r="F40" s="182">
        <f>IF($C$150="Upside",$D40,IF($C$150="Downside",$E40,$C40))</f>
        <v/>
      </c>
      <c r="G40" s="185" t="inlineStr">
        <is>
          <t>Trend intelligence feed. Brand-specific forecasting.</t>
        </is>
      </c>
    </row>
    <row r="41" ht="15" customHeight="1" s="160">
      <c r="A41" s="176" t="n"/>
      <c r="B41" s="177" t="inlineStr">
        <is>
          <t xml:space="preserve">    M5 Sub — SME (€/mo)</t>
        </is>
      </c>
      <c r="C41" s="178" t="n">
        <v>150</v>
      </c>
      <c r="D41" s="186" t="n">
        <v>200</v>
      </c>
      <c r="E41" s="186" t="n">
        <v>100</v>
      </c>
      <c r="F41" s="177">
        <f>IF($C$150="Upside",$D41,IF($C$150="Downside",$E41,$C41))</f>
        <v/>
      </c>
      <c r="G41" s="185" t="inlineStr">
        <is>
          <t>External visual production. Campaign + PDP imagery.</t>
        </is>
      </c>
    </row>
    <row r="43" ht="15" customHeight="1" s="160">
      <c r="A43" s="187" t="n"/>
      <c r="B43" s="188" t="inlineStr">
        <is>
          <t xml:space="preserve">  Large Monthly Subscriptions</t>
        </is>
      </c>
      <c r="C43" s="187" t="n"/>
      <c r="D43" s="187" t="n"/>
      <c r="E43" s="187" t="n"/>
      <c r="F43" s="187" t="n"/>
    </row>
    <row r="44" ht="15" customHeight="1" s="160">
      <c r="A44" s="176" t="n"/>
      <c r="B44" s="177" t="inlineStr">
        <is>
          <t xml:space="preserve">    M1 Sub — Large (€/mo)</t>
        </is>
      </c>
      <c r="C44" s="178" t="n">
        <v>300</v>
      </c>
      <c r="D44" s="186" t="n">
        <v>400</v>
      </c>
      <c r="E44" s="186" t="n">
        <v>200</v>
      </c>
      <c r="F44" s="177">
        <f>IF($C$150="Upside",$D44,IF($C$150="Downside",$E44,$C44))</f>
        <v/>
      </c>
      <c r="G44" s="189" t="n"/>
    </row>
    <row r="45" ht="15" customHeight="1" s="160">
      <c r="A45" s="181" t="n"/>
      <c r="B45" s="182" t="inlineStr">
        <is>
          <t xml:space="preserve">    M2 Sub — Large (€/mo)</t>
        </is>
      </c>
      <c r="C45" s="183" t="n">
        <v>350</v>
      </c>
      <c r="D45" s="184" t="n">
        <v>450</v>
      </c>
      <c r="E45" s="184" t="n">
        <v>200</v>
      </c>
      <c r="F45" s="182">
        <f>IF($C$150="Upside",$D45,IF($C$150="Downside",$E45,$C45))</f>
        <v/>
      </c>
      <c r="G45" s="189" t="n"/>
    </row>
    <row r="46" ht="15" customHeight="1" s="160">
      <c r="A46" s="176" t="n"/>
      <c r="B46" s="177" t="inlineStr">
        <is>
          <t xml:space="preserve">    M3 Sub — Large (€/mo)</t>
        </is>
      </c>
      <c r="C46" s="178" t="n">
        <v>200</v>
      </c>
      <c r="D46" s="186" t="n">
        <v>300</v>
      </c>
      <c r="E46" s="186" t="n">
        <v>120</v>
      </c>
      <c r="F46" s="177">
        <f>IF($C$150="Upside",$D46,IF($C$150="Downside",$E46,$C46))</f>
        <v/>
      </c>
      <c r="G46" s="189" t="n"/>
    </row>
    <row r="47" ht="15" customHeight="1" s="160">
      <c r="A47" s="181" t="n"/>
      <c r="B47" s="182" t="inlineStr">
        <is>
          <t xml:space="preserve">    M4 Sub — Large (€/mo)</t>
        </is>
      </c>
      <c r="C47" s="183" t="n">
        <v>300</v>
      </c>
      <c r="D47" s="184" t="n">
        <v>400</v>
      </c>
      <c r="E47" s="184" t="n">
        <v>180</v>
      </c>
      <c r="F47" s="182">
        <f>IF($C$150="Upside",$D47,IF($C$150="Downside",$E47,$C47))</f>
        <v/>
      </c>
      <c r="G47" s="189" t="n"/>
    </row>
    <row r="48" ht="15" customHeight="1" s="160">
      <c r="A48" s="176" t="n"/>
      <c r="B48" s="177" t="inlineStr">
        <is>
          <t xml:space="preserve">    M5 Sub — Large (€/mo)</t>
        </is>
      </c>
      <c r="C48" s="178" t="n">
        <v>400</v>
      </c>
      <c r="D48" s="186" t="n">
        <v>500</v>
      </c>
      <c r="E48" s="186" t="n">
        <v>250</v>
      </c>
      <c r="F48" s="177">
        <f>IF($C$150="Upside",$D48,IF($C$150="Downside",$E48,$C48))</f>
        <v/>
      </c>
      <c r="G48" s="189" t="n"/>
    </row>
    <row r="50" ht="15" customHeight="1" s="160">
      <c r="A50" s="187" t="n"/>
      <c r="B50" s="188" t="inlineStr">
        <is>
          <t xml:space="preserve">  Enterprise Monthly Subscriptions</t>
        </is>
      </c>
      <c r="C50" s="187" t="n"/>
      <c r="D50" s="187" t="n"/>
      <c r="E50" s="187" t="n"/>
      <c r="F50" s="187" t="n"/>
    </row>
    <row r="51" ht="15" customHeight="1" s="160">
      <c r="A51" s="176" t="n"/>
      <c r="B51" s="177" t="inlineStr">
        <is>
          <t xml:space="preserve">    M1 Sub — Enterprise (€/mo)</t>
        </is>
      </c>
      <c r="C51" s="178" t="n">
        <v>500</v>
      </c>
      <c r="D51" s="186" t="n">
        <v>799</v>
      </c>
      <c r="E51" s="186" t="n">
        <v>349</v>
      </c>
      <c r="F51" s="177">
        <f>IF($C$150="Upside",$D51,IF($C$150="Downside",$E51,$C51))</f>
        <v/>
      </c>
      <c r="G51" s="189" t="n"/>
    </row>
    <row r="52" ht="15" customHeight="1" s="160">
      <c r="A52" s="181" t="n"/>
      <c r="B52" s="182" t="inlineStr">
        <is>
          <t xml:space="preserve">    M2 Sub — Enterprise (€/mo)</t>
        </is>
      </c>
      <c r="C52" s="183" t="n">
        <v>600</v>
      </c>
      <c r="D52" s="184" t="n">
        <v>800</v>
      </c>
      <c r="E52" s="184" t="n">
        <v>350</v>
      </c>
      <c r="F52" s="182">
        <f>IF($C$150="Upside",$D52,IF($C$150="Downside",$E52,$C52))</f>
        <v/>
      </c>
      <c r="G52" s="189" t="n"/>
    </row>
    <row r="53" ht="15" customHeight="1" s="160">
      <c r="A53" s="176" t="n"/>
      <c r="B53" s="177" t="inlineStr">
        <is>
          <t xml:space="preserve">    M3 Sub — Enterprise (€/mo)</t>
        </is>
      </c>
      <c r="C53" s="178" t="n">
        <v>400</v>
      </c>
      <c r="D53" s="186" t="n">
        <v>600</v>
      </c>
      <c r="E53" s="186" t="n">
        <v>250</v>
      </c>
      <c r="F53" s="177">
        <f>IF($C$150="Upside",$D53,IF($C$150="Downside",$E53,$C53))</f>
        <v/>
      </c>
      <c r="G53" s="189" t="n"/>
    </row>
    <row r="54" ht="15" customHeight="1" s="160">
      <c r="A54" s="181" t="n"/>
      <c r="B54" s="182" t="inlineStr">
        <is>
          <t xml:space="preserve">    M4 Sub — Enterprise (€/mo)</t>
        </is>
      </c>
      <c r="C54" s="183" t="n">
        <v>500</v>
      </c>
      <c r="D54" s="184" t="n">
        <v>700</v>
      </c>
      <c r="E54" s="184" t="n">
        <v>300</v>
      </c>
      <c r="F54" s="182">
        <f>IF($C$150="Upside",$D54,IF($C$150="Downside",$E54,$C54))</f>
        <v/>
      </c>
      <c r="G54" s="189" t="n"/>
    </row>
    <row r="55" ht="15" customHeight="1" s="160">
      <c r="A55" s="176" t="n"/>
      <c r="B55" s="177" t="inlineStr">
        <is>
          <t xml:space="preserve">    M5 Sub — Enterprise (€/mo)</t>
        </is>
      </c>
      <c r="C55" s="178" t="n">
        <v>700</v>
      </c>
      <c r="D55" s="186" t="n">
        <v>900</v>
      </c>
      <c r="E55" s="186" t="n">
        <v>450</v>
      </c>
      <c r="F55" s="177">
        <f>IF($C$150="Upside",$D55,IF($C$150="Downside",$E55,$C55))</f>
        <v/>
      </c>
      <c r="G55" s="189" t="n"/>
    </row>
    <row r="57" ht="15" customHeight="1" s="160">
      <c r="A57" s="187" t="n"/>
      <c r="B57" s="188" t="inlineStr">
        <is>
          <t>D. CREDIT PRICING — Shared pool across all modules (usage increases with module count)</t>
        </is>
      </c>
      <c r="C57" s="187" t="n"/>
      <c r="D57" s="187" t="n"/>
      <c r="E57" s="187" t="n"/>
      <c r="F57" s="187" t="n"/>
    </row>
    <row r="58" ht="15" customHeight="1" s="160">
      <c r="A58" s="181" t="n"/>
      <c r="B58" s="182" t="inlineStr">
        <is>
          <t xml:space="preserve">  SME — Base Credits/Month</t>
        </is>
      </c>
      <c r="C58" s="183" t="n">
        <v>4000</v>
      </c>
      <c r="D58" s="184" t="n">
        <v>12000</v>
      </c>
      <c r="E58" s="184" t="n">
        <v>1500</v>
      </c>
      <c r="F58" s="182">
        <f>IF($C$150="Upside",$D58,IF($C$150="Downside",$E58,$C58))</f>
        <v/>
      </c>
      <c r="G58" s="185" t="inlineStr">
        <is>
          <t>Monthly credit commitment. Usage-based; grows with module adoption.</t>
        </is>
      </c>
    </row>
    <row r="59" ht="15" customHeight="1" s="160">
      <c r="A59" s="176" t="n"/>
      <c r="B59" s="177" t="inlineStr">
        <is>
          <t xml:space="preserve">  Large — Base Credits/Month</t>
        </is>
      </c>
      <c r="C59" s="178" t="n">
        <v>30000</v>
      </c>
      <c r="D59" s="186" t="n">
        <v>60000</v>
      </c>
      <c r="E59" s="186" t="n">
        <v>9000</v>
      </c>
      <c r="F59" s="177">
        <f>IF($C$150="Upside",$D59,IF($C$150="Downside",$E59,$C59))</f>
        <v/>
      </c>
      <c r="G59" s="189" t="n"/>
    </row>
    <row r="60" ht="15" customHeight="1" s="160">
      <c r="A60" s="181" t="n"/>
      <c r="B60" s="182" t="inlineStr">
        <is>
          <t xml:space="preserve">  Enterprise — Base Credits/Month</t>
        </is>
      </c>
      <c r="C60" s="183" t="n">
        <v>60000</v>
      </c>
      <c r="D60" s="184" t="n">
        <v>120000</v>
      </c>
      <c r="E60" s="184" t="n">
        <v>25000</v>
      </c>
      <c r="F60" s="182">
        <f>IF($C$150="Upside",$D60,IF($C$150="Downside",$E60,$C60))</f>
        <v/>
      </c>
      <c r="G60" s="189" t="n"/>
    </row>
    <row r="61" ht="15" customHeight="1" s="160">
      <c r="A61" s="176" t="n"/>
      <c r="B61" s="177" t="inlineStr">
        <is>
          <t xml:space="preserve">  SME — Price per Credit (€)</t>
        </is>
      </c>
      <c r="C61" s="190" t="n">
        <v>0.22</v>
      </c>
      <c r="D61" s="191" t="n">
        <v>0.25</v>
      </c>
      <c r="E61" s="191" t="n">
        <v>0.18</v>
      </c>
      <c r="F61" s="192">
        <f>IF($C$150="Upside",$D61,IF($C$150="Downside",$E61,$C61))</f>
        <v/>
      </c>
      <c r="G61" s="185" t="inlineStr">
        <is>
          <t>No volume discount. GM: €0.22−€0.03 infra = €0.19 (86%).</t>
        </is>
      </c>
    </row>
    <row r="62" ht="15" customHeight="1" s="160">
      <c r="A62" s="181" t="n"/>
      <c r="B62" s="182" t="inlineStr">
        <is>
          <t xml:space="preserve">  Large — Price per Credit (€)</t>
        </is>
      </c>
      <c r="C62" s="193" t="n">
        <v>0.195</v>
      </c>
      <c r="D62" s="194" t="n">
        <v>0.22</v>
      </c>
      <c r="E62" s="194" t="n">
        <v>0.15</v>
      </c>
      <c r="F62" s="195">
        <f>IF($C$150="Upside",$D62,IF($C$150="Downside",$E62,$C62))</f>
        <v/>
      </c>
      <c r="G62" s="185" t="inlineStr">
        <is>
          <t>−18% vs SME. Volume discount.</t>
        </is>
      </c>
    </row>
    <row r="63" ht="15" customHeight="1" s="160">
      <c r="A63" s="176" t="n"/>
      <c r="B63" s="177" t="inlineStr">
        <is>
          <t xml:space="preserve">  Enterprise — Price per Credit (€)</t>
        </is>
      </c>
      <c r="C63" s="190" t="n">
        <v>0.16</v>
      </c>
      <c r="D63" s="191" t="n">
        <v>0.18</v>
      </c>
      <c r="E63" s="191" t="n">
        <v>0.12</v>
      </c>
      <c r="F63" s="192">
        <f>IF($C$150="Upside",$D63,IF($C$150="Downside",$E63,$C63))</f>
        <v/>
      </c>
      <c r="G63" s="185" t="inlineStr">
        <is>
          <t>−32% vs SME. Committed use.</t>
        </is>
      </c>
    </row>
    <row r="64" ht="15" customHeight="1" s="160">
      <c r="A64" s="181" t="n"/>
      <c r="B64" s="182" t="inlineStr">
        <is>
          <t xml:space="preserve">  SME — Credit Usage Growth (%/period)</t>
        </is>
      </c>
      <c r="C64" s="196" t="n">
        <v>0.015</v>
      </c>
      <c r="D64" s="197" t="n">
        <v>0.025</v>
      </c>
      <c r="E64" s="197" t="n">
        <v>0.01</v>
      </c>
      <c r="F64" s="198">
        <f>IF($C$150="Upside",$D64,IF($C$150="Downside",$E64,$C64))</f>
        <v/>
      </c>
      <c r="G64" s="199" t="inlineStr">
        <is>
          <t>Per-period credit consumption growth.</t>
        </is>
      </c>
    </row>
    <row r="65" ht="15" customHeight="1" s="160">
      <c r="A65" s="176" t="n"/>
      <c r="B65" s="177" t="inlineStr">
        <is>
          <t xml:space="preserve">  Large — Credit Usage Growth (%/period)</t>
        </is>
      </c>
      <c r="C65" s="200" t="n">
        <v>0.03</v>
      </c>
      <c r="D65" s="201" t="n">
        <v>0.04</v>
      </c>
      <c r="E65" s="201" t="n">
        <v>0.02</v>
      </c>
      <c r="F65" s="202">
        <f>IF($C$150="Upside",$D65,IF($C$150="Downside",$E65,$C65))</f>
        <v/>
      </c>
      <c r="G65" s="203" t="n"/>
    </row>
    <row r="66" ht="15" customHeight="1" s="160">
      <c r="A66" s="181" t="n"/>
      <c r="B66" s="182" t="inlineStr">
        <is>
          <t xml:space="preserve">  Enterprise — Credit Usage Growth (%/period)</t>
        </is>
      </c>
      <c r="C66" s="196" t="n">
        <v>0.045</v>
      </c>
      <c r="D66" s="197" t="n">
        <v>0.06</v>
      </c>
      <c r="E66" s="197" t="n">
        <v>0.03</v>
      </c>
      <c r="F66" s="198">
        <f>IF($C$150="Upside",$D66,IF($C$150="Downside",$E66,$C66))</f>
        <v/>
      </c>
      <c r="G66" s="203" t="n"/>
    </row>
    <row r="67" ht="15" customHeight="1" s="160">
      <c r="A67" s="176" t="n"/>
      <c r="B67" s="177" t="inlineStr">
        <is>
          <t xml:space="preserve">  Credit Multiplier per Additional Module</t>
        </is>
      </c>
      <c r="C67" s="200" t="n">
        <v>0.15</v>
      </c>
      <c r="D67" s="201" t="n">
        <v>0.2</v>
      </c>
      <c r="E67" s="201" t="n">
        <v>0.1</v>
      </c>
      <c r="F67" s="202">
        <f>IF($C$150="Upside",$D67,IF($C$150="Downside",$E67,$C67))</f>
        <v/>
      </c>
      <c r="G67" s="185" t="inlineStr">
        <is>
          <t>Each additional module adopted increases credit consumption by this %. E.g., 2 modules = 1.15× base credits.</t>
        </is>
      </c>
    </row>
    <row r="68" ht="15" customHeight="1" s="160">
      <c r="A68" s="204" t="n"/>
      <c r="B68" s="205" t="n"/>
      <c r="C68" s="206" t="n"/>
      <c r="D68" s="206" t="n"/>
      <c r="E68" s="206" t="n"/>
      <c r="F68" s="205" t="n"/>
      <c r="G68" s="185" t="n"/>
    </row>
    <row r="69" ht="15" customHeight="1" s="160">
      <c r="A69" s="181" t="n"/>
      <c r="B69" s="182" t="inlineStr">
        <is>
          <t xml:space="preserve">  SME — Max Credits/Month (cap)</t>
        </is>
      </c>
      <c r="C69" s="183" t="n">
        <v>8000</v>
      </c>
      <c r="D69" s="184" t="n">
        <v>15000</v>
      </c>
      <c r="E69" s="184" t="n">
        <v>5000</v>
      </c>
      <c r="F69" s="182">
        <f>IF($C$150="Upside",$D69,IF($C$150="Downside",$E69,$C69))</f>
        <v/>
      </c>
      <c r="G69" s="185" t="inlineStr">
        <is>
          <t>Ceiling for SME credit consumption. Growth asymptotically approaches this.</t>
        </is>
      </c>
    </row>
    <row r="70" ht="15" customHeight="1" s="160">
      <c r="A70" s="176" t="n"/>
      <c r="B70" s="177" t="inlineStr">
        <is>
          <t xml:space="preserve">  Large — Max Credits/Month (cap)</t>
        </is>
      </c>
      <c r="C70" s="178" t="n">
        <v>50000</v>
      </c>
      <c r="D70" s="186" t="n">
        <v>80000</v>
      </c>
      <c r="E70" s="186" t="n">
        <v>20000</v>
      </c>
      <c r="F70" s="177">
        <f>IF($C$150="Upside",$D70,IF($C$150="Downside",$E70,$C70))</f>
        <v/>
      </c>
      <c r="G70" s="185" t="n"/>
    </row>
    <row r="71" ht="15" customHeight="1" s="160">
      <c r="A71" s="181" t="n"/>
      <c r="B71" s="182" t="inlineStr">
        <is>
          <t xml:space="preserve">  Enterprise — Max Credits/Month (cap)</t>
        </is>
      </c>
      <c r="C71" s="183" t="n">
        <v>100000</v>
      </c>
      <c r="D71" s="184" t="n">
        <v>150000</v>
      </c>
      <c r="E71" s="184" t="n">
        <v>50000</v>
      </c>
      <c r="F71" s="182">
        <f>IF($C$150="Upside",$D71,IF($C$150="Downside",$E71,$C71))</f>
        <v/>
      </c>
      <c r="G71" s="185" t="n"/>
    </row>
    <row r="72" ht="15" customHeight="1" s="160">
      <c r="A72" s="204" t="n"/>
      <c r="B72" s="205" t="n"/>
      <c r="C72" s="207" t="n"/>
      <c r="D72" s="206" t="n"/>
      <c r="E72" s="206" t="n"/>
      <c r="F72" s="205" t="n"/>
      <c r="G72" s="185" t="n"/>
    </row>
    <row r="73" ht="15" customHeight="1" s="160">
      <c r="A73" s="187" t="n"/>
      <c r="B73" s="188" t="inlineStr">
        <is>
          <t>E. Starting Customers</t>
        </is>
      </c>
      <c r="C73" s="208" t="n"/>
      <c r="D73" s="208" t="n"/>
      <c r="E73" s="208" t="n"/>
      <c r="F73" s="209" t="n"/>
      <c r="G73" s="185" t="n"/>
    </row>
    <row r="74" ht="15" customHeight="1" s="160">
      <c r="A74" s="181" t="n"/>
      <c r="B74" s="182" t="inlineStr">
        <is>
          <t xml:space="preserve">  Starting Customers — SME (#)</t>
        </is>
      </c>
      <c r="C74" s="183" t="n">
        <v>6</v>
      </c>
      <c r="D74" s="184" t="n">
        <v>7</v>
      </c>
      <c r="E74" s="184" t="n">
        <v>5</v>
      </c>
      <c r="F74" s="182">
        <f>IF($C$150="Upside",$D74,IF($C$150="Downside",$E74,$C74))</f>
        <v/>
      </c>
      <c r="G74" s="185" t="inlineStr">
        <is>
          <t>Pre-investment pilots converted.</t>
        </is>
      </c>
    </row>
    <row r="75" ht="15" customHeight="1" s="160">
      <c r="A75" s="176" t="n"/>
      <c r="B75" s="177" t="inlineStr">
        <is>
          <t xml:space="preserve">  Starting Customers — Large (#)</t>
        </is>
      </c>
      <c r="C75" s="178" t="n">
        <v>1</v>
      </c>
      <c r="D75" s="186" t="n">
        <v>2</v>
      </c>
      <c r="E75" s="186" t="n">
        <v>0</v>
      </c>
      <c r="F75" s="177">
        <f>IF($C$150="Upside",$D75,IF($C$150="Downside",$E75,$C75))</f>
        <v/>
      </c>
      <c r="G75" s="185" t="inlineStr">
        <is>
          <t>Warm lead from founders network.</t>
        </is>
      </c>
    </row>
    <row r="76" ht="15" customHeight="1" s="160">
      <c r="A76" s="181" t="n"/>
      <c r="B76" s="182" t="inlineStr">
        <is>
          <t xml:space="preserve">  Starting Customers — Enterprise (#)</t>
        </is>
      </c>
      <c r="C76" s="183" t="n">
        <v>0</v>
      </c>
      <c r="D76" s="184" t="n">
        <v>1</v>
      </c>
      <c r="E76" s="184" t="n">
        <v>0</v>
      </c>
      <c r="F76" s="182">
        <f>IF($C$150="Upside",$D76,IF($C$150="Downside",$E76,$C76))</f>
        <v/>
      </c>
      <c r="G76" s="185" t="inlineStr">
        <is>
          <t>Enterprise requires 6-month sales cycle.</t>
        </is>
      </c>
    </row>
    <row r="78" ht="15" customHeight="1" s="160">
      <c r="A78" s="187" t="n"/>
      <c r="B78" s="188" t="inlineStr">
        <is>
          <t>F. SALES CAPACITY MODEL — AE + Founder selling capacity</t>
        </is>
      </c>
      <c r="C78" s="187" t="n"/>
      <c r="D78" s="187" t="n"/>
      <c r="E78" s="187" t="n"/>
      <c r="F78" s="187" t="n"/>
    </row>
    <row r="79" ht="15" customHeight="1" s="160">
      <c r="A79" s="181" t="n"/>
      <c r="B79" s="182" t="inlineStr">
        <is>
          <t xml:space="preserve">  CEO - % Time on Sales</t>
        </is>
      </c>
      <c r="C79" s="210" t="n">
        <v>0.5</v>
      </c>
      <c r="D79" s="197" t="n">
        <v>0.6</v>
      </c>
      <c r="E79" s="197" t="n">
        <v>0.4</v>
      </c>
      <c r="F79" s="198">
        <f>IF($C$150="Upside",$D79,IF($C$150="Downside",$E79,$C79))</f>
        <v/>
      </c>
      <c r="G79" s="199" t="inlineStr">
        <is>
          <t>CEO is primary seller pre-AE hire.</t>
        </is>
      </c>
    </row>
    <row r="80" ht="15" customHeight="1" s="160">
      <c r="A80" s="176" t="n"/>
      <c r="B80" s="177" t="inlineStr">
        <is>
          <t xml:space="preserve">  CPO - % Time on Sales</t>
        </is>
      </c>
      <c r="C80" s="211" t="n">
        <v>0.25</v>
      </c>
      <c r="D80" s="201" t="n">
        <v>0.3</v>
      </c>
      <c r="E80" s="201" t="n">
        <v>0.15</v>
      </c>
      <c r="F80" s="202">
        <f>IF($C$150="Upside",$D80,IF($C$150="Downside",$E80,$C80))</f>
        <v/>
      </c>
      <c r="G80" s="199" t="inlineStr">
        <is>
          <t>CPO supports demos/technical sales.</t>
        </is>
      </c>
    </row>
    <row r="81" ht="15" customHeight="1" s="160">
      <c r="A81" s="181" t="n"/>
      <c r="B81" s="182" t="inlineStr">
        <is>
          <t xml:space="preserve">  CTO - % Time on Sales</t>
        </is>
      </c>
      <c r="C81" s="210" t="n">
        <v>0.1</v>
      </c>
      <c r="D81" s="197" t="n">
        <v>0.15</v>
      </c>
      <c r="E81" s="197" t="n">
        <v>0.05</v>
      </c>
      <c r="F81" s="198">
        <f>IF($C$150="Upside",$D81,IF($C$150="Downside",$E81,$C81))</f>
        <v/>
      </c>
      <c r="G81" s="199" t="inlineStr">
        <is>
          <t>CTO involved in enterprise technical evaluation.</t>
        </is>
      </c>
    </row>
    <row r="82" ht="15" customHeight="1" s="160">
      <c r="A82" s="176" t="n"/>
      <c r="B82" s="177" t="inlineStr">
        <is>
          <t xml:space="preserve">  Deals Closed per FTE-AE per Month (net-new)</t>
        </is>
      </c>
      <c r="C82" s="178" t="n">
        <v>2</v>
      </c>
      <c r="D82" s="186" t="n">
        <v>3</v>
      </c>
      <c r="E82" s="186" t="n">
        <v>1</v>
      </c>
      <c r="F82" s="177">
        <f>IF($C$150="Upside",$D82,IF($C$150="Downside",$E82,$C82))</f>
        <v/>
      </c>
      <c r="G82" s="185" t="inlineStr">
        <is>
          <t>1 FTE AE can close ~2 net-new deals/month. Benchmark: B2B SaaS 1-2 deals/AE/month (Salesloft 2024).</t>
        </is>
      </c>
    </row>
    <row r="83" ht="15" customHeight="1" s="160">
      <c r="A83" s="181" t="n"/>
      <c r="B83" s="182" t="inlineStr">
        <is>
          <t xml:space="preserve">  % AE Time Allocated to Cross-Sell</t>
        </is>
      </c>
      <c r="C83" s="211" t="n">
        <v>0.2</v>
      </c>
      <c r="D83" s="201" t="n">
        <v>0.25</v>
      </c>
      <c r="E83" s="201" t="n">
        <v>0.15</v>
      </c>
      <c r="F83" s="202">
        <f>IF($C$150="Upside",$D83,IF($C$150="Downside",$E83,$C83))</f>
        <v/>
      </c>
      <c r="G83" s="199" t="inlineStr">
        <is>
          <t>Starts at 20%; adjustable. Remaining time goes to net-new. As base grows, cross-sell becomes more efficient.</t>
        </is>
      </c>
    </row>
    <row r="85" ht="15" customHeight="1" s="160">
      <c r="A85" s="187" t="n"/>
      <c r="B85" s="188" t="inlineStr">
        <is>
          <t>G. LEAD FUNNEL — FUNNEL DIVIDED BY TYPE</t>
        </is>
      </c>
      <c r="C85" s="187" t="n"/>
      <c r="D85" s="187" t="n"/>
      <c r="E85" s="187" t="n"/>
      <c r="F85" s="187" t="n"/>
    </row>
    <row r="86" ht="15" customHeight="1" s="160">
      <c r="A86" s="181" t="n"/>
      <c r="B86" s="182" t="inlineStr">
        <is>
          <t>SME Client Rate</t>
        </is>
      </c>
      <c r="C86" s="212" t="n">
        <v>0.5625</v>
      </c>
      <c r="D86" s="213" t="n">
        <v>0.47</v>
      </c>
      <c r="E86" s="213" t="n">
        <v>0.75</v>
      </c>
      <c r="F86" s="198">
        <f>IF($C$150="Upside",$D86,IF($C$150="Downside",$E86,$C86))</f>
        <v/>
      </c>
      <c r="G86" s="185" t="inlineStr">
        <is>
          <t>MQL pool: founders LinkedIn (~4), paid ads (~3), events (~3).</t>
        </is>
      </c>
    </row>
    <row r="87" ht="15" customHeight="1" s="160">
      <c r="A87" s="176" t="n"/>
      <c r="B87" s="177" t="inlineStr">
        <is>
          <t>Large Client Rate</t>
        </is>
      </c>
      <c r="C87" s="200" t="n">
        <v>0.3125</v>
      </c>
      <c r="D87" s="201" t="n">
        <v>0.325</v>
      </c>
      <c r="E87" s="201" t="n">
        <v>0.15</v>
      </c>
      <c r="F87" s="202">
        <f>IF($C$150="Upside",$D87,IF($C$150="Downside",$E87,$C87))</f>
        <v/>
      </c>
      <c r="G87" s="199" t="inlineStr">
        <is>
          <t>5.5%/mo = ~90% annual. OpenView PLG benchmarks: 40-80%/yr.</t>
        </is>
      </c>
    </row>
    <row r="88" ht="15" customHeight="1" s="160">
      <c r="A88" s="181" t="n"/>
      <c r="B88" s="182" t="inlineStr">
        <is>
          <t>Enterprise Client Rate</t>
        </is>
      </c>
      <c r="C88" s="196" t="n">
        <v>0.125</v>
      </c>
      <c r="D88" s="197">
        <f>1-D86-D87</f>
        <v/>
      </c>
      <c r="E88" s="197" t="n">
        <v>0.1</v>
      </c>
      <c r="F88" s="198">
        <f>IF($C$150="Upside",$D88,IF($C$150="Downside",$E88,$C88))</f>
        <v/>
      </c>
      <c r="G88" s="199" t="inlineStr">
        <is>
          <t>B2B SaaS SME close rate 3-6% (Hubspot 2024: 4.3%).</t>
        </is>
      </c>
      <c r="H88" s="214">
        <f>C88/SUM($C$86:$C$88)</f>
        <v/>
      </c>
    </row>
    <row r="89" ht="15" customHeight="1" s="160">
      <c r="A89" s="176" t="n"/>
      <c r="B89" s="177" t="inlineStr">
        <is>
          <t xml:space="preserve">  Sales Cycle — SME (months)</t>
        </is>
      </c>
      <c r="C89" s="178" t="n">
        <v>1</v>
      </c>
      <c r="D89" s="186" t="n">
        <v>1</v>
      </c>
      <c r="E89" s="186" t="n">
        <v>2</v>
      </c>
      <c r="F89" s="177">
        <f>IF($C$150="Upside",$D89,IF($C$150="Downside",$E89,$C89))</f>
        <v/>
      </c>
      <c r="G89" s="185" t="inlineStr">
        <is>
          <t>Standard for PLG-assisted B2B SaaS.</t>
        </is>
      </c>
    </row>
    <row r="90" ht="15" customHeight="1" s="160">
      <c r="A90" s="181" t="n"/>
      <c r="B90" s="182" t="inlineStr">
        <is>
          <t xml:space="preserve">  Sales Cycle — Large (months)</t>
        </is>
      </c>
      <c r="C90" s="183" t="n">
        <v>3</v>
      </c>
      <c r="D90" s="184" t="n">
        <v>2</v>
      </c>
      <c r="E90" s="184" t="n">
        <v>4</v>
      </c>
      <c r="F90" s="182">
        <f>IF($C$150="Upside",$D90,IF($C$150="Downside",$E90,$C90))</f>
        <v/>
      </c>
      <c r="G90" s="185" t="inlineStr">
        <is>
          <t>Median mid-market 2-4 months (Salesloft 2024).</t>
        </is>
      </c>
    </row>
    <row r="91" ht="15" customHeight="1" s="160">
      <c r="A91" s="176" t="n"/>
      <c r="B91" s="177" t="inlineStr">
        <is>
          <t xml:space="preserve">  Sales Cycle — Enterprise (months)</t>
        </is>
      </c>
      <c r="C91" s="178" t="n">
        <v>6</v>
      </c>
      <c r="D91" s="186" t="n">
        <v>5</v>
      </c>
      <c r="E91" s="186" t="n">
        <v>9</v>
      </c>
      <c r="F91" s="177">
        <f>IF($C$150="Upside",$D91,IF($C$150="Downside",$E91,$C91))</f>
        <v/>
      </c>
      <c r="G91" s="185" t="inlineStr">
        <is>
          <t>Enterprise median 4-8 months (Gartner 2024).</t>
        </is>
      </c>
    </row>
    <row r="93" ht="15" customHeight="1" s="160">
      <c r="A93" s="187" t="n"/>
      <c r="B93" s="188" t="inlineStr">
        <is>
          <t>H. CROSS-SELL ASSUMPTIONS — Module adoption rates for existing customers</t>
        </is>
      </c>
      <c r="C93" s="187" t="n"/>
      <c r="D93" s="187" t="n"/>
      <c r="E93" s="187" t="n"/>
      <c r="F93" s="187" t="n"/>
    </row>
    <row r="94" ht="15" customHeight="1" s="160">
      <c r="A94" s="181" t="n"/>
      <c r="B94" s="182" t="inlineStr">
        <is>
          <t xml:space="preserve">  % of Existing Single-Module Customers Who Adopt New Module (per period after launch)</t>
        </is>
      </c>
      <c r="C94" s="183" t="n"/>
      <c r="D94" s="215" t="n"/>
      <c r="E94" s="215" t="n"/>
      <c r="F94" s="215" t="n"/>
      <c r="G94" s="214" t="n"/>
    </row>
    <row r="95" ht="15" customHeight="1" s="160">
      <c r="A95" s="176" t="n"/>
      <c r="B95" s="177" t="inlineStr">
        <is>
          <t xml:space="preserve">  Cross-Sell Rate → M2 (Pre-Production)</t>
        </is>
      </c>
      <c r="C95" s="200" t="n">
        <v>0.08</v>
      </c>
      <c r="D95" s="201" t="n">
        <v>0.12</v>
      </c>
      <c r="E95" s="201" t="n">
        <v>0.05</v>
      </c>
      <c r="F95" s="202">
        <f>IF($C$150="Upside",$D95,IF($C$150="Downside",$E95,$C95))</f>
        <v/>
      </c>
      <c r="G95" s="185" t="inlineStr">
        <is>
          <t>8% of M1-only customers adopt M2 per period. Natural extension of design workflow.</t>
        </is>
      </c>
    </row>
    <row r="96" ht="15" customHeight="1" s="160">
      <c r="A96" s="181" t="n"/>
      <c r="B96" s="182" t="inlineStr">
        <is>
          <t xml:space="preserve">  Cross-Sell Rate → M3 (Visual Internal)</t>
        </is>
      </c>
      <c r="C96" s="196" t="n">
        <v>0.06</v>
      </c>
      <c r="D96" s="197" t="n">
        <v>0.1</v>
      </c>
      <c r="E96" s="197" t="n">
        <v>0.03</v>
      </c>
      <c r="F96" s="198">
        <f>IF($C$150="Upside",$D96,IF($C$150="Downside",$E96,$C96))</f>
        <v/>
      </c>
      <c r="G96" s="185" t="inlineStr">
        <is>
          <t>6%/period. Lower urgency but zero-setup from Brand DNA.</t>
        </is>
      </c>
    </row>
    <row r="97" ht="15" customHeight="1" s="160">
      <c r="A97" s="176" t="n"/>
      <c r="B97" s="177" t="inlineStr">
        <is>
          <t xml:space="preserve">  Cross-Sell Rate → M4 (Trend Analysis)</t>
        </is>
      </c>
      <c r="C97" s="200" t="n">
        <v>0.05</v>
      </c>
      <c r="D97" s="201" t="n">
        <v>0.08</v>
      </c>
      <c r="E97" s="201" t="n">
        <v>0.03</v>
      </c>
      <c r="F97" s="202">
        <f>IF($C$150="Upside",$D97,IF($C$150="Downside",$E97,$C97))</f>
        <v/>
      </c>
      <c r="G97" s="185" t="inlineStr">
        <is>
          <t>5%/period. Upstream module; appeals to strategic buyers.</t>
        </is>
      </c>
    </row>
    <row r="98" ht="15" customHeight="1" s="160">
      <c r="A98" s="181" t="n"/>
      <c r="B98" s="182" t="inlineStr">
        <is>
          <t xml:space="preserve">  Cross-Sell Rate → M5 (Visual External)</t>
        </is>
      </c>
      <c r="C98" s="196" t="n">
        <v>0.07000000000000001</v>
      </c>
      <c r="D98" s="197" t="n">
        <v>0.1</v>
      </c>
      <c r="E98" s="197" t="n">
        <v>0.04</v>
      </c>
      <c r="F98" s="198">
        <f>IF($C$150="Upside",$D98,IF($C$150="Downside",$E98,$C98))</f>
        <v/>
      </c>
      <c r="G98" s="185" t="inlineStr">
        <is>
          <t>7%/period. High demand; direct ROI from reduced agency spend.</t>
        </is>
      </c>
    </row>
    <row r="99" ht="15" customHeight="1" s="160">
      <c r="A99" s="176" t="n"/>
      <c r="B99" s="177" t="inlineStr">
        <is>
          <t xml:space="preserve">  % of Net-New Logos Who Adopt Additional Modules at Landing (beyond M1)</t>
        </is>
      </c>
      <c r="C99" s="178" t="n"/>
      <c r="D99" s="216" t="n"/>
      <c r="E99" s="216" t="n"/>
      <c r="F99" s="216" t="n"/>
      <c r="G99" s="214" t="n"/>
    </row>
    <row r="100" ht="15" customHeight="1" s="160">
      <c r="A100" s="181" t="n"/>
      <c r="B100" s="182" t="inlineStr">
        <is>
          <t xml:space="preserve">  New Logo → Also Takes M2 at Landing (%)</t>
        </is>
      </c>
      <c r="C100" s="196" t="n">
        <v>0.15</v>
      </c>
      <c r="D100" s="197" t="n">
        <v>0.25</v>
      </c>
      <c r="E100" s="197" t="n">
        <v>0.1</v>
      </c>
      <c r="F100" s="198">
        <f>IF($C$150="Upside",$D100,IF($C$150="Downside",$E100,$C100))</f>
        <v/>
      </c>
      <c r="G100" s="199" t="inlineStr">
        <is>
          <t>15% of new logos buy M2 along with M1 at initial contract.</t>
        </is>
      </c>
    </row>
    <row r="101" ht="15" customHeight="1" s="160">
      <c r="A101" s="176" t="n"/>
      <c r="B101" s="177" t="inlineStr">
        <is>
          <t xml:space="preserve">  New Logo → Also Takes M3 at Landing (%)</t>
        </is>
      </c>
      <c r="C101" s="200" t="n">
        <v>0.1</v>
      </c>
      <c r="D101" s="201" t="n">
        <v>0.15</v>
      </c>
      <c r="E101" s="201" t="n">
        <v>0.05</v>
      </c>
      <c r="F101" s="202">
        <f>IF($C$150="Upside",$D101,IF($C$150="Downside",$E101,$C101))</f>
        <v/>
      </c>
      <c r="G101" s="203" t="n"/>
    </row>
    <row r="102" ht="15" customHeight="1" s="160">
      <c r="A102" s="181" t="n"/>
      <c r="B102" s="182" t="inlineStr">
        <is>
          <t xml:space="preserve">  New Logo → Also Takes M4 at Landing (%)</t>
        </is>
      </c>
      <c r="C102" s="196" t="n">
        <v>0.05</v>
      </c>
      <c r="D102" s="197" t="n">
        <v>0.1</v>
      </c>
      <c r="E102" s="197" t="n">
        <v>0.03</v>
      </c>
      <c r="F102" s="198">
        <f>IF($C$150="Upside",$D102,IF($C$150="Downside",$E102,$C102))</f>
        <v/>
      </c>
      <c r="G102" s="203" t="n"/>
    </row>
    <row r="103" ht="15" customHeight="1" s="160">
      <c r="A103" s="176" t="n"/>
      <c r="B103" s="177" t="inlineStr">
        <is>
          <t xml:space="preserve">  New Logo → Also Takes M5 at Landing (%)</t>
        </is>
      </c>
      <c r="C103" s="200" t="n">
        <v>0.08</v>
      </c>
      <c r="D103" s="201" t="n">
        <v>0.12</v>
      </c>
      <c r="E103" s="201" t="n">
        <v>0.04</v>
      </c>
      <c r="F103" s="202">
        <f>IF($C$150="Upside",$D103,IF($C$150="Downside",$E103,$C103))</f>
        <v/>
      </c>
      <c r="G103" s="203" t="n"/>
    </row>
    <row r="104" ht="15" customHeight="1" s="160">
      <c r="A104" s="181" t="n"/>
      <c r="B104" s="182" t="inlineStr">
        <is>
          <t xml:space="preserve">  Gross Logo Churn — SME (%/month)</t>
        </is>
      </c>
      <c r="C104" s="196" t="n">
        <v>0.025</v>
      </c>
      <c r="D104" s="197" t="n">
        <v>0.018</v>
      </c>
      <c r="E104" s="197" t="n">
        <v>0.035</v>
      </c>
      <c r="F104" s="198">
        <f>IF($C$150="Upside",$D104,IF($C$150="Downside",$E104,$C104))</f>
        <v/>
      </c>
      <c r="G104" s="199" t="inlineStr">
        <is>
          <t>2.5%/mo ≈ 26% annual. SaaStr early-stage SME: 20-35%.</t>
        </is>
      </c>
    </row>
    <row r="105" ht="15" customHeight="1" s="160">
      <c r="A105" s="176" t="n"/>
      <c r="B105" s="177" t="inlineStr">
        <is>
          <t xml:space="preserve">  Gross Logo Churn — Large (%/month)</t>
        </is>
      </c>
      <c r="C105" s="200" t="n">
        <v>0.015</v>
      </c>
      <c r="D105" s="201" t="n">
        <v>0.01</v>
      </c>
      <c r="E105" s="201" t="n">
        <v>0.02</v>
      </c>
      <c r="F105" s="202">
        <f>IF($C$150="Upside",$D105,IF($C$150="Downside",$E105,$C105))</f>
        <v/>
      </c>
      <c r="G105" s="199" t="inlineStr">
        <is>
          <t>1.5%/mo ≈ 17% annual. Mid-market 10-18% (OpenView 2024).</t>
        </is>
      </c>
    </row>
    <row r="106" ht="15" customHeight="1" s="160">
      <c r="A106" s="181" t="n"/>
      <c r="B106" s="182" t="inlineStr">
        <is>
          <t xml:space="preserve">  Gross Logo Churn — Enterprise (%/month)</t>
        </is>
      </c>
      <c r="C106" s="196" t="n">
        <v>0.008</v>
      </c>
      <c r="D106" s="197" t="n">
        <v>0.005</v>
      </c>
      <c r="E106" s="197" t="n">
        <v>0.012</v>
      </c>
      <c r="F106" s="198">
        <f>IF($C$150="Upside",$D106,IF($C$150="Downside",$E106,$C106))</f>
        <v/>
      </c>
      <c r="G106" s="199" t="inlineStr">
        <is>
          <t>0.8%/mo ≈ 9% annual. Enterprise 5-10% with contracts.</t>
        </is>
      </c>
    </row>
    <row r="108" ht="15" customHeight="1" s="160">
      <c r="A108" s="187" t="n"/>
      <c r="B108" s="188" t="inlineStr">
        <is>
          <t>J. COST STRUCTURE (COGS &amp; OpEx — non-salary)</t>
        </is>
      </c>
      <c r="C108" s="187" t="n"/>
      <c r="D108" s="187" t="n"/>
      <c r="E108" s="187" t="n"/>
      <c r="F108" s="187" t="n"/>
    </row>
    <row r="109" ht="15" customHeight="1" s="160">
      <c r="A109" s="181" t="n"/>
      <c r="B109" s="182" t="inlineStr">
        <is>
          <t xml:space="preserve">  Infra Cost per Credit — SME (€)</t>
        </is>
      </c>
      <c r="C109" s="217" t="n">
        <v>0.03</v>
      </c>
      <c r="D109" s="218" t="n">
        <v>0.025</v>
      </c>
      <c r="E109" s="218" t="n">
        <v>0.035</v>
      </c>
      <c r="F109" s="219">
        <f>IF($C$150="Upside",$D109,IF($C$150="Downside",$E109,$C109))</f>
        <v/>
      </c>
      <c r="G109" s="185" t="inlineStr">
        <is>
          <t>AWS/GCP AI inference. On-demand pricing.</t>
        </is>
      </c>
    </row>
    <row r="110" ht="15" customHeight="1" s="160">
      <c r="A110" s="176" t="n"/>
      <c r="B110" s="177" t="inlineStr">
        <is>
          <t xml:space="preserve">  Infra Cost per Credit — Large (€)</t>
        </is>
      </c>
      <c r="C110" s="220" t="n">
        <v>0.025</v>
      </c>
      <c r="D110" s="221" t="n">
        <v>0.02</v>
      </c>
      <c r="E110" s="221" t="n">
        <v>0.03</v>
      </c>
      <c r="F110" s="222">
        <f>IF($C$150="Upside",$D110,IF($C$150="Downside",$E110,$C110))</f>
        <v/>
      </c>
      <c r="G110" s="185" t="inlineStr">
        <is>
          <t>Reserved instance −17% vs SME.</t>
        </is>
      </c>
    </row>
    <row r="111" ht="15" customHeight="1" s="160">
      <c r="A111" s="181" t="n"/>
      <c r="B111" s="182" t="inlineStr">
        <is>
          <t xml:space="preserve">  Infra Cost per Credit — Enterprise (€)</t>
        </is>
      </c>
      <c r="C111" s="217" t="n">
        <v>0.02</v>
      </c>
      <c r="D111" s="218" t="n">
        <v>0.015</v>
      </c>
      <c r="E111" s="218" t="n">
        <v>0.025</v>
      </c>
      <c r="F111" s="219">
        <f>IF($C$150="Upside",$D111,IF($C$150="Downside",$E111,$C111))</f>
        <v/>
      </c>
      <c r="G111" s="185" t="inlineStr">
        <is>
          <t>Committed use −33% vs SME.</t>
        </is>
      </c>
    </row>
    <row r="112" ht="15" customHeight="1" s="160">
      <c r="A112" s="176" t="n"/>
      <c r="B112" s="177" t="inlineStr">
        <is>
          <t xml:space="preserve">  Support Cost % of Sub Revenue — SME</t>
        </is>
      </c>
      <c r="C112" s="200" t="n">
        <v>0.08</v>
      </c>
      <c r="D112" s="201" t="n">
        <v>0.05</v>
      </c>
      <c r="E112" s="201" t="n">
        <v>0.12</v>
      </c>
      <c r="F112" s="202">
        <f>IF($C$150="Upside",$D112,IF($C$150="Downside",$E112,$C112))</f>
        <v/>
      </c>
      <c r="G112" s="199" t="inlineStr">
        <is>
          <t>Self-serve + ticketed. PLG SaaS 5-10%.</t>
        </is>
      </c>
    </row>
    <row r="113" ht="15" customHeight="1" s="160">
      <c r="A113" s="181" t="n"/>
      <c r="B113" s="182" t="inlineStr">
        <is>
          <t xml:space="preserve">  Support Cost % of Sub Revenue — Large</t>
        </is>
      </c>
      <c r="C113" s="196" t="n">
        <v>0.12</v>
      </c>
      <c r="D113" s="197" t="n">
        <v>0.08</v>
      </c>
      <c r="E113" s="197" t="n">
        <v>0.16</v>
      </c>
      <c r="F113" s="198">
        <f>IF($C$150="Upside",$D113,IF($C$150="Downside",$E113,$C113))</f>
        <v/>
      </c>
      <c r="G113" s="199" t="inlineStr">
        <is>
          <t>Dedicated account manager.</t>
        </is>
      </c>
    </row>
    <row r="114" ht="15" customHeight="1" s="160">
      <c r="A114" s="176" t="n"/>
      <c r="B114" s="177" t="inlineStr">
        <is>
          <t xml:space="preserve">  Support Cost % of Sub Revenue — Enterprise</t>
        </is>
      </c>
      <c r="C114" s="200" t="n">
        <v>0.18</v>
      </c>
      <c r="D114" s="201" t="n">
        <v>0.12</v>
      </c>
      <c r="E114" s="201" t="n">
        <v>0.24</v>
      </c>
      <c r="F114" s="202">
        <f>IF($C$150="Upside",$D114,IF($C$150="Downside",$E114,$C114))</f>
        <v/>
      </c>
      <c r="G114" s="199" t="inlineStr">
        <is>
          <t>Dedicated support + SLA.</t>
        </is>
      </c>
    </row>
    <row r="115" ht="15" customHeight="1" s="160">
      <c r="A115" s="181" t="n"/>
      <c r="B115" s="182" t="inlineStr">
        <is>
          <t xml:space="preserve">  Setup Fee COGS % (onboarding labor)</t>
        </is>
      </c>
      <c r="C115" s="196" t="n">
        <v>0.15</v>
      </c>
      <c r="D115" s="197" t="n">
        <v>0.12</v>
      </c>
      <c r="E115" s="197" t="n">
        <v>0.2</v>
      </c>
      <c r="F115" s="198">
        <f>IF($C$150="Upside",$D115,IF($C$150="Downside",$E115,$C115))</f>
        <v/>
      </c>
      <c r="G115" s="199" t="inlineStr">
        <is>
          <t>Onboarding labor as % of setup fee revenue.</t>
        </is>
      </c>
    </row>
    <row r="116" ht="15" customHeight="1" s="160">
      <c r="A116" s="176" t="n"/>
      <c r="B116" s="177" t="inlineStr">
        <is>
          <t xml:space="preserve">  Professional Services COGS %</t>
        </is>
      </c>
      <c r="C116" s="200" t="n">
        <v>0.7</v>
      </c>
      <c r="D116" s="201" t="n">
        <v>0.6</v>
      </c>
      <c r="E116" s="201" t="n">
        <v>0.8</v>
      </c>
      <c r="F116" s="202">
        <f>IF($C$150="Upside",$D116,IF($C$150="Downside",$E116,$C116))</f>
        <v/>
      </c>
      <c r="G116" s="199" t="inlineStr">
        <is>
          <t>PS GM = 30%. Gross-margin dilutive; capped &lt;10%.</t>
        </is>
      </c>
    </row>
    <row r="118" ht="15" customHeight="1" s="160">
      <c r="A118" s="181" t="n"/>
      <c r="B118" s="182" t="inlineStr">
        <is>
          <t xml:space="preserve">  S&amp;M Non-Salary — Floor (€/month)</t>
        </is>
      </c>
      <c r="C118" s="183" t="n">
        <v>16667</v>
      </c>
      <c r="D118" s="184" t="n">
        <v>23333</v>
      </c>
      <c r="E118" s="184" t="n">
        <v>11667</v>
      </c>
      <c r="F118" s="182">
        <f>IF($C$150="Upside",$D118,IF($C$150="Downside",$E118,$C118))</f>
        <v/>
      </c>
      <c r="G118" s="185" t="inlineStr">
        <is>
          <t>Min S&amp;M spend. €50K/qtr baseline.</t>
        </is>
      </c>
    </row>
    <row r="119" ht="15" customHeight="1" s="160">
      <c r="A119" s="176" t="n"/>
      <c r="B119" s="177" t="inlineStr">
        <is>
          <t xml:space="preserve">  S&amp;M as % of Revenue — Year 1</t>
        </is>
      </c>
      <c r="C119" s="223" t="n">
        <v>0.4</v>
      </c>
      <c r="D119" s="201" t="n">
        <v>0.4</v>
      </c>
      <c r="E119" s="201" t="n">
        <v>0.5</v>
      </c>
      <c r="F119" s="202">
        <f>IF($C$150="Upside",$D119,IF($C$150="Downside",$E119,$C119))</f>
        <v/>
      </c>
      <c r="G119" s="199" t="inlineStr">
        <is>
          <t>Invest heavily early. Declines linearly to Year 5 target. Inline with Market Values</t>
        </is>
      </c>
    </row>
    <row r="120" ht="15" customHeight="1" s="160">
      <c r="A120" s="181" t="n"/>
      <c r="B120" s="182" t="inlineStr">
        <is>
          <t xml:space="preserve">  S&amp;M as % of Revenue — Year 5</t>
        </is>
      </c>
      <c r="C120" s="224" t="n">
        <v>0.25</v>
      </c>
      <c r="D120" s="197" t="n">
        <v>0.2</v>
      </c>
      <c r="E120" s="197" t="n">
        <v>0.3</v>
      </c>
      <c r="F120" s="198">
        <f>IF($C$150="Upside",$D120,IF($C$150="Downside",$E120,$C120))</f>
        <v/>
      </c>
      <c r="G120" s="199" t="inlineStr">
        <is>
          <t>Steady-state S&amp;M efficiency target.</t>
        </is>
      </c>
    </row>
    <row r="121" ht="15" customHeight="1" s="160">
      <c r="A121" s="176" t="n"/>
      <c r="B121" s="177" t="inlineStr">
        <is>
          <t xml:space="preserve">  P&amp;E Non-Salary — Floor (€/month)</t>
        </is>
      </c>
      <c r="C121" s="225" t="n">
        <v>13333</v>
      </c>
      <c r="D121" s="225" t="n">
        <v>18333</v>
      </c>
      <c r="E121" s="225" t="n">
        <v>10000</v>
      </c>
      <c r="F121" s="225">
        <f>IF($C$150="Upside",$D121,IF($C$150="Downside",$E121,$C121))</f>
        <v/>
      </c>
      <c r="G121" s="199" t="n"/>
    </row>
    <row r="122" ht="15" customHeight="1" s="160">
      <c r="A122" s="181" t="n"/>
      <c r="B122" s="182" t="inlineStr">
        <is>
          <t xml:space="preserve">  P&amp;E as % of Revenue — Year 1</t>
        </is>
      </c>
      <c r="C122" s="224" t="n">
        <v>0.3</v>
      </c>
      <c r="D122" s="197" t="n">
        <v>0.35</v>
      </c>
      <c r="E122" s="197" t="n">
        <v>0.25</v>
      </c>
      <c r="F122" s="198">
        <f>IF($C$150="Upside",$D122,IF($C$150="Downside",$E122,$C122))</f>
        <v/>
      </c>
      <c r="G122" s="199" t="n"/>
    </row>
    <row r="123" ht="15" customHeight="1" s="160">
      <c r="A123" s="176" t="n"/>
      <c r="B123" s="177" t="inlineStr">
        <is>
          <t xml:space="preserve">  P&amp;E as % of Revenue — Year 5</t>
        </is>
      </c>
      <c r="C123" s="200" t="n">
        <v>0.15</v>
      </c>
      <c r="D123" s="201" t="n">
        <v>0.12</v>
      </c>
      <c r="E123" s="201" t="n">
        <v>0.2</v>
      </c>
      <c r="F123" s="202">
        <f>IF($C$150="Upside",$D123,IF($C$150="Downside",$E123,$C123))</f>
        <v/>
      </c>
      <c r="G123" s="199" t="n"/>
    </row>
    <row r="124" ht="15" customHeight="1" s="160">
      <c r="A124" s="181" t="n"/>
      <c r="B124" s="182" t="inlineStr">
        <is>
          <t xml:space="preserve">  G&amp;A Non-Salary — Floor (€/month)</t>
        </is>
      </c>
      <c r="C124" s="183" t="n">
        <v>6667</v>
      </c>
      <c r="D124" s="184" t="n">
        <v>8333</v>
      </c>
      <c r="E124" s="184" t="n">
        <v>5000</v>
      </c>
      <c r="F124" s="182">
        <f>IF($C$150="Upside",$D124,IF($C$150="Downside",$E124,$C124))</f>
        <v/>
      </c>
      <c r="G124" s="185" t="n"/>
    </row>
    <row r="125" ht="15" customHeight="1" s="160">
      <c r="A125" s="176" t="n"/>
      <c r="B125" s="177" t="inlineStr">
        <is>
          <t xml:space="preserve">  G&amp;A as % of Revenue — Year 1</t>
        </is>
      </c>
      <c r="C125" s="223" t="n">
        <v>0.15</v>
      </c>
      <c r="D125" s="201" t="n">
        <v>0.18</v>
      </c>
      <c r="E125" s="201" t="n">
        <v>0.12</v>
      </c>
      <c r="F125" s="202">
        <f>IF($C$150="Upside",$D125,IF($C$150="Downside",$E125,$C125))</f>
        <v/>
      </c>
      <c r="G125" s="199" t="inlineStr">
        <is>
          <t>Inline with Market Data</t>
        </is>
      </c>
    </row>
    <row r="126" ht="15" customHeight="1" s="160">
      <c r="A126" s="181" t="n"/>
      <c r="B126" s="182" t="inlineStr">
        <is>
          <t xml:space="preserve">  G&amp;A as % of Revenue — Year 5</t>
        </is>
      </c>
      <c r="C126" s="224" t="n">
        <v>0.08</v>
      </c>
      <c r="D126" s="197" t="n">
        <v>0.06</v>
      </c>
      <c r="E126" s="197" t="n">
        <v>0.1</v>
      </c>
      <c r="F126" s="198">
        <f>IF($C$150="Upside",$D126,IF($C$150="Downside",$E126,$C126))</f>
        <v/>
      </c>
      <c r="G126" s="199" t="n"/>
    </row>
    <row r="127" ht="15" customHeight="1" s="160">
      <c r="A127" s="176" t="n"/>
      <c r="B127" s="177" t="inlineStr">
        <is>
          <t xml:space="preserve">  PS Projects/Month — Large</t>
        </is>
      </c>
      <c r="C127" s="178" t="n">
        <v>0.083</v>
      </c>
      <c r="D127" s="186" t="n">
        <v>0.33</v>
      </c>
      <c r="E127" s="186" t="n">
        <v>0.05</v>
      </c>
      <c r="F127" s="177">
        <f>IF($C$150="Upside",$D127,IF($C$150="Downside",$E127,$C127))</f>
        <v/>
      </c>
      <c r="G127" s="185" t="inlineStr">
        <is>
          <t>~1 project/year = 0.083/month.</t>
        </is>
      </c>
    </row>
    <row r="128" ht="15" customHeight="1" s="160">
      <c r="A128" s="181" t="n"/>
      <c r="B128" s="182" t="inlineStr">
        <is>
          <t xml:space="preserve">  PS Projects/Month — Enterprise</t>
        </is>
      </c>
      <c r="C128" s="183" t="n">
        <v>0.167</v>
      </c>
      <c r="D128" s="184" t="n">
        <v>0.33</v>
      </c>
      <c r="E128" s="184" t="n">
        <v>0</v>
      </c>
      <c r="F128" s="182">
        <f>IF($C$150="Upside",$D128,IF($C$150="Downside",$E128,$C128))</f>
        <v/>
      </c>
      <c r="G128" s="189" t="inlineStr">
        <is>
          <t>~2 projects/year.</t>
        </is>
      </c>
    </row>
    <row r="129" ht="15" customHeight="1" s="160">
      <c r="A129" s="176" t="n"/>
      <c r="B129" s="177" t="inlineStr">
        <is>
          <t xml:space="preserve">  PS Avg Value — SME (€)</t>
        </is>
      </c>
      <c r="C129" s="178" t="n">
        <v>0</v>
      </c>
      <c r="D129" s="186" t="n">
        <v>0</v>
      </c>
      <c r="E129" s="186" t="n">
        <v>0</v>
      </c>
      <c r="F129" s="177">
        <f>IF($C$150="Upside",$D129,IF($C$150="Downside",$E129,$C129))</f>
        <v/>
      </c>
      <c r="G129" s="189" t="n"/>
    </row>
    <row r="130" ht="15" customHeight="1" s="160">
      <c r="A130" s="181" t="n"/>
      <c r="B130" s="182" t="inlineStr">
        <is>
          <t xml:space="preserve">  PS Avg Value — Large (€)</t>
        </is>
      </c>
      <c r="C130" s="183" t="n">
        <v>10000</v>
      </c>
      <c r="D130" s="184" t="n">
        <v>15000</v>
      </c>
      <c r="E130" s="184" t="n">
        <v>5000</v>
      </c>
      <c r="F130" s="182">
        <f>IF($C$150="Upside",$D130,IF($C$150="Downside",$E130,$C130))</f>
        <v/>
      </c>
      <c r="G130" s="185" t="inlineStr">
        <is>
          <t>Mid-market custom integration €8-15K.</t>
        </is>
      </c>
    </row>
    <row r="131" ht="15" customHeight="1" s="160">
      <c r="A131" s="176" t="n"/>
      <c r="B131" s="177" t="inlineStr">
        <is>
          <t xml:space="preserve">  PS Avg Value — Enterprise (€)</t>
        </is>
      </c>
      <c r="C131" s="178" t="n">
        <v>20000</v>
      </c>
      <c r="D131" s="186" t="n">
        <v>30000</v>
      </c>
      <c r="E131" s="186" t="n">
        <v>10000</v>
      </c>
      <c r="F131" s="177">
        <f>IF($C$150="Upside",$D131,IF($C$150="Downside",$E131,$C131))</f>
        <v/>
      </c>
      <c r="G131" s="185" t="inlineStr">
        <is>
          <t>Enterprise AI integration €15-40K.</t>
        </is>
      </c>
    </row>
    <row r="133" ht="15" customHeight="1" s="160">
      <c r="A133" s="187" t="n"/>
      <c r="B133" s="188" t="inlineStr">
        <is>
          <t>L. BILLING MIX &amp; WORKING CAPITAL</t>
        </is>
      </c>
      <c r="C133" s="187" t="n"/>
      <c r="D133" s="187" t="n"/>
      <c r="E133" s="187" t="n"/>
      <c r="F133" s="187" t="n"/>
    </row>
    <row r="134" ht="15" customHeight="1" s="160">
      <c r="A134" s="181" t="n"/>
      <c r="B134" s="182" t="inlineStr">
        <is>
          <t xml:space="preserve">  Annual Billing Discount (%)</t>
        </is>
      </c>
      <c r="C134" s="196" t="n">
        <v>0.1</v>
      </c>
      <c r="D134" s="197" t="n">
        <v>0.1</v>
      </c>
      <c r="E134" s="197" t="n">
        <v>0.1</v>
      </c>
      <c r="F134" s="198">
        <f>IF($C$150="Upside",$D134,IF($C$150="Downside",$E134,$C134))</f>
        <v/>
      </c>
      <c r="G134" s="199" t="inlineStr">
        <is>
          <t>10% discount on subscription ONLY. Credits monthly.</t>
        </is>
      </c>
    </row>
    <row r="135" ht="15" customHeight="1" s="160">
      <c r="A135" s="176" t="n"/>
      <c r="B135" s="177" t="inlineStr">
        <is>
          <t xml:space="preserve">  % New Customers on Annual Billing</t>
        </is>
      </c>
      <c r="C135" s="200" t="n">
        <v>0.4</v>
      </c>
      <c r="D135" s="201" t="n">
        <v>0.5</v>
      </c>
      <c r="E135" s="201" t="n">
        <v>0.3</v>
      </c>
      <c r="F135" s="202">
        <f>IF($C$150="Upside",$D135,IF($C$150="Downside",$E135,$C135))</f>
        <v/>
      </c>
      <c r="G135" s="199" t="inlineStr">
        <is>
          <t>Zuora 2024 median: 42%.</t>
        </is>
      </c>
    </row>
    <row r="136" ht="15" customHeight="1" s="160">
      <c r="A136" s="181" t="n"/>
      <c r="B136" s="182" t="inlineStr">
        <is>
          <t xml:space="preserve">  Accounts Receivable Days</t>
        </is>
      </c>
      <c r="C136" s="183" t="n">
        <v>30</v>
      </c>
      <c r="D136" s="184" t="n">
        <v>25</v>
      </c>
      <c r="E136" s="184" t="n">
        <v>45</v>
      </c>
      <c r="F136" s="182">
        <f>IF($C$150="Upside",$D136,IF($C$150="Downside",$E136,$C136))</f>
        <v/>
      </c>
      <c r="G136" s="185" t="inlineStr">
        <is>
          <t>Days of revenue outstanding. SaaS typical: 25-45 days.</t>
        </is>
      </c>
    </row>
    <row r="137" ht="15" customHeight="1" s="160">
      <c r="A137" s="176" t="n"/>
      <c r="B137" s="177" t="inlineStr">
        <is>
          <t xml:space="preserve">  Accounts Payable Days</t>
        </is>
      </c>
      <c r="C137" s="178" t="n">
        <v>30</v>
      </c>
      <c r="D137" s="186" t="n">
        <v>35</v>
      </c>
      <c r="E137" s="186" t="n">
        <v>25</v>
      </c>
      <c r="F137" s="177">
        <f>IF($C$150="Upside",$D137,IF($C$150="Downside",$E137,$C137))</f>
        <v/>
      </c>
      <c r="G137" s="185" t="inlineStr">
        <is>
          <t>Days of COGS outstanding. Supplier payment terms.</t>
        </is>
      </c>
    </row>
    <row r="139" ht="15" customHeight="1" s="160">
      <c r="A139" s="187" t="n"/>
      <c r="B139" s="188" t="inlineStr">
        <is>
          <t>M. TAX, DEPRECIATION &amp; CAPEX</t>
        </is>
      </c>
      <c r="C139" s="187" t="n"/>
      <c r="D139" s="187" t="n"/>
      <c r="E139" s="187" t="n"/>
      <c r="F139" s="187" t="n"/>
    </row>
    <row r="140" ht="15" customHeight="1" s="160">
      <c r="A140" s="181" t="n"/>
      <c r="B140" s="182" t="inlineStr">
        <is>
          <t xml:space="preserve">  Corporate Tax Rate (%)</t>
        </is>
      </c>
      <c r="C140" s="196" t="n">
        <v>0.25</v>
      </c>
      <c r="D140" s="197" t="n">
        <v>0.25</v>
      </c>
      <c r="E140" s="197" t="n">
        <v>0.25</v>
      </c>
      <c r="F140" s="198">
        <f>IF($C$150="Upside",$D140,IF($C$150="Downside",$E140,$C140))</f>
        <v/>
      </c>
      <c r="G140" s="199" t="inlineStr">
        <is>
          <t>Spain corporate tax: 25%. Applied only when EBIT &gt; 0.</t>
        </is>
      </c>
    </row>
    <row r="141" ht="15" customHeight="1" s="160">
      <c r="A141" s="176" t="n"/>
      <c r="B141" s="177" t="inlineStr">
        <is>
          <t xml:space="preserve">  Depreciation &amp; Amortisation (€/month)</t>
        </is>
      </c>
      <c r="C141" s="178" t="n">
        <v>0</v>
      </c>
      <c r="D141" s="186" t="n">
        <v>0</v>
      </c>
      <c r="E141" s="186" t="n">
        <v>0</v>
      </c>
      <c r="F141" s="177">
        <f>IF($C$150="Upside",$D141,IF($C$150="Downside",$E141,$C141))</f>
        <v/>
      </c>
      <c r="G141" s="185" t="inlineStr">
        <is>
          <t>Minimal for asset-light SaaS. Capitalized software + equipment.</t>
        </is>
      </c>
    </row>
    <row r="142" ht="15" customHeight="1" s="160">
      <c r="A142" s="181" t="n"/>
      <c r="B142" s="182" t="inlineStr">
        <is>
          <t xml:space="preserve">  Initial CapEx / Setup (€)</t>
        </is>
      </c>
      <c r="C142" s="183" t="n">
        <v>0</v>
      </c>
      <c r="D142" s="184" t="n">
        <v>0</v>
      </c>
      <c r="E142" s="184" t="n">
        <v>0</v>
      </c>
      <c r="F142" s="182">
        <f>IF($C$150="Upside",$D142,IF($C$150="Downside",$E142,$C142))</f>
        <v/>
      </c>
      <c r="G142" s="185" t="n"/>
    </row>
    <row r="143" ht="15" customHeight="1" s="160">
      <c r="A143" s="176" t="n"/>
      <c r="B143" s="177" t="inlineStr">
        <is>
          <t xml:space="preserve">  Annual Maintenance CapEx (€)</t>
        </is>
      </c>
      <c r="C143" s="178" t="n">
        <v>0</v>
      </c>
      <c r="D143" s="186" t="n">
        <v>0</v>
      </c>
      <c r="E143" s="186" t="n">
        <v>0</v>
      </c>
      <c r="F143" s="177">
        <f>IF($C$150="Upside",$D143,IF($C$150="Downside",$E143,$C143))</f>
        <v/>
      </c>
      <c r="G143" s="185" t="n"/>
    </row>
    <row r="145" ht="15" customHeight="1" s="160">
      <c r="A145" s="187" t="n"/>
      <c r="B145" s="188" t="inlineStr">
        <is>
          <t>N. PERSONNEL — See 5_Headcount for full plan</t>
        </is>
      </c>
      <c r="C145" s="187" t="n"/>
      <c r="D145" s="187" t="n"/>
      <c r="E145" s="187" t="n"/>
      <c r="F145" s="187" t="n"/>
    </row>
    <row r="146" ht="15" customHeight="1" s="160">
      <c r="A146" s="181" t="n"/>
      <c r="B146" s="182" t="inlineStr">
        <is>
          <t xml:space="preserve">  Annual Salary Growth Rate (%)</t>
        </is>
      </c>
      <c r="C146" s="196" t="n">
        <v>0.1</v>
      </c>
      <c r="D146" s="197" t="n">
        <v>0.12</v>
      </c>
      <c r="E146" s="197" t="n">
        <v>0.08</v>
      </c>
      <c r="F146" s="198">
        <f>IF($C$150="Upside",$D146,IF($C$150="Downside",$E146,$C146))</f>
        <v/>
      </c>
      <c r="G146" s="199" t="inlineStr">
        <is>
          <t>Total salary growth = real growth + inflation. Set to include both. E.g., 7% real + 3% inflation = 10%.</t>
        </is>
      </c>
    </row>
    <row r="147" ht="15" customHeight="1" s="160">
      <c r="A147" s="176" t="n"/>
      <c r="B147" s="177" t="inlineStr">
        <is>
          <t xml:space="preserve">  Total Planned Headcount (FY2030)</t>
        </is>
      </c>
      <c r="C147" s="178" t="n">
        <v>20</v>
      </c>
      <c r="D147" s="176" t="n"/>
      <c r="E147" s="176" t="n"/>
      <c r="F147" s="176" t="n"/>
      <c r="G147" s="185" t="inlineStr">
        <is>
          <t>20 roles, 5 departments — full schedule in 5_Headcount</t>
        </is>
      </c>
    </row>
    <row r="149" ht="15" customHeight="1" s="160">
      <c r="A149" s="187" t="n"/>
      <c r="B149" s="226" t="inlineStr">
        <is>
          <t>O. ACTIVE SCENARIO SELECTOR</t>
        </is>
      </c>
      <c r="C149" s="226" t="n"/>
      <c r="D149" s="226" t="n"/>
      <c r="E149" s="226" t="n"/>
      <c r="F149" s="226" t="n"/>
    </row>
    <row r="150" ht="15" customHeight="1" s="160">
      <c r="A150" s="181" t="n"/>
      <c r="B150" s="226" t="inlineStr">
        <is>
          <t>► ACTIVE SCENARIO:</t>
        </is>
      </c>
      <c r="C150" s="227" t="inlineStr">
        <is>
          <t>Base Case</t>
        </is>
      </c>
      <c r="D150" s="181" t="inlineStr">
        <is>
          <t>← Select: "Base Case", "Upside", or "Downside"</t>
        </is>
      </c>
      <c r="E150" s="181" t="n"/>
      <c r="F150" s="181" t="n"/>
    </row>
    <row r="153" ht="15" customHeight="1" s="160"/>
    <row r="154" ht="15" customHeight="1" s="160"/>
    <row r="155" ht="15" customHeight="1" s="160"/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G110"/>
  <sheetViews>
    <sheetView showFormulas="0" showGridLines="1" showRowColHeaders="1" showZeros="1" rightToLeft="0" tabSelected="1" showOutlineSymbols="1" defaultGridColor="1" view="normal" topLeftCell="A1" colorId="64" zoomScale="82" zoomScaleNormal="82" zoomScalePageLayoutView="100" workbookViewId="0">
      <pane xSplit="4" ySplit="3" topLeftCell="E48" activePane="bottomRight" state="frozen"/>
      <selection pane="topLeft" activeCell="A1" activeCellId="0" sqref="A1"/>
      <selection pane="topRight" activeCell="E1" activeCellId="0" sqref="E1"/>
      <selection pane="bottomLeft" activeCell="A48" activeCellId="0" sqref="A48"/>
      <selection pane="bottomRight" activeCell="I31" activeCellId="0" sqref="I31"/>
    </sheetView>
  </sheetViews>
  <sheetFormatPr baseColWidth="8" defaultColWidth="8.5703125" defaultRowHeight="14.25" customHeight="0" zeroHeight="0" outlineLevelRow="0"/>
  <cols>
    <col width="3" customWidth="1" style="159" min="1" max="1"/>
    <col width="52" customWidth="1" style="159" min="2" max="2"/>
    <col width="6" customWidth="1" style="159" min="3" max="3"/>
    <col width="13" customWidth="1" style="159" min="4" max="29"/>
    <col width="13.15" customWidth="1" style="159" min="32" max="32"/>
    <col width="14.42" customWidth="1" style="159" min="33" max="33"/>
  </cols>
  <sheetData>
    <row r="1" ht="15" customHeight="1" s="160">
      <c r="A1" s="166" t="inlineStr">
        <is>
          <t xml:space="preserve">  2_Projections  |  5-Year Revenue &amp; P&amp;L  |  Monthly Year 1, Quarterly Years 2-5  |  ARTISO AI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167" t="n"/>
      <c r="T1" s="167" t="n"/>
      <c r="U1" s="167" t="n"/>
      <c r="V1" s="167" t="n"/>
      <c r="W1" s="167" t="n"/>
      <c r="X1" s="167" t="n"/>
      <c r="Y1" s="167" t="n"/>
      <c r="Z1" s="167" t="n"/>
      <c r="AA1" s="167" t="n"/>
      <c r="AB1" s="167" t="n"/>
      <c r="AC1" s="167" t="n"/>
    </row>
    <row r="2" ht="15" customHeight="1" s="160">
      <c r="E2" s="228" t="inlineStr">
        <is>
          <t>2026 (Apr-Dec, Monthly)</t>
        </is>
      </c>
      <c r="N2" s="228" t="inlineStr">
        <is>
          <t>2027 (Quarterly)</t>
        </is>
      </c>
      <c r="R2" s="228" t="inlineStr">
        <is>
          <t>2028</t>
        </is>
      </c>
      <c r="V2" s="228" t="inlineStr">
        <is>
          <t>2029</t>
        </is>
      </c>
      <c r="Z2" s="228" t="inlineStr">
        <is>
          <t>2030</t>
        </is>
      </c>
    </row>
    <row r="3" ht="15" customHeight="1" s="160">
      <c r="A3" s="169" t="n"/>
      <c r="B3" s="170" t="inlineStr">
        <is>
          <t>Metric</t>
        </is>
      </c>
      <c r="C3" s="229" t="inlineStr">
        <is>
          <t>Units</t>
        </is>
      </c>
      <c r="D3" s="230" t="inlineStr">
        <is>
          <t>Pre-Inv</t>
        </is>
      </c>
      <c r="E3" s="230" t="inlineStr">
        <is>
          <t>Apr</t>
        </is>
      </c>
      <c r="F3" s="230" t="inlineStr">
        <is>
          <t>May</t>
        </is>
      </c>
      <c r="G3" s="230" t="inlineStr">
        <is>
          <t>Jun</t>
        </is>
      </c>
      <c r="H3" s="230" t="inlineStr">
        <is>
          <t>Jul</t>
        </is>
      </c>
      <c r="I3" s="230" t="inlineStr">
        <is>
          <t>Aug</t>
        </is>
      </c>
      <c r="J3" s="230" t="inlineStr">
        <is>
          <t>Sep</t>
        </is>
      </c>
      <c r="K3" s="230" t="inlineStr">
        <is>
          <t>Oct</t>
        </is>
      </c>
      <c r="L3" s="230" t="inlineStr">
        <is>
          <t>Nov</t>
        </is>
      </c>
      <c r="M3" s="230" t="inlineStr">
        <is>
          <t>Dec</t>
        </is>
      </c>
      <c r="N3" s="230" t="inlineStr">
        <is>
          <t>Q1</t>
        </is>
      </c>
      <c r="O3" s="230" t="inlineStr">
        <is>
          <t>Q2</t>
        </is>
      </c>
      <c r="P3" s="230" t="inlineStr">
        <is>
          <t>Q3</t>
        </is>
      </c>
      <c r="Q3" s="230" t="inlineStr">
        <is>
          <t>Q4</t>
        </is>
      </c>
      <c r="R3" s="230" t="inlineStr">
        <is>
          <t>Q1</t>
        </is>
      </c>
      <c r="S3" s="230" t="inlineStr">
        <is>
          <t>Q2</t>
        </is>
      </c>
      <c r="T3" s="230" t="inlineStr">
        <is>
          <t>Q3</t>
        </is>
      </c>
      <c r="U3" s="230" t="inlineStr">
        <is>
          <t>Q4</t>
        </is>
      </c>
      <c r="V3" s="230" t="inlineStr">
        <is>
          <t>Q1</t>
        </is>
      </c>
      <c r="W3" s="230" t="inlineStr">
        <is>
          <t>Q2</t>
        </is>
      </c>
      <c r="X3" s="230" t="inlineStr">
        <is>
          <t>Q3</t>
        </is>
      </c>
      <c r="Y3" s="230" t="inlineStr">
        <is>
          <t>Q4</t>
        </is>
      </c>
      <c r="Z3" s="230" t="inlineStr">
        <is>
          <t>Q1</t>
        </is>
      </c>
      <c r="AA3" s="230" t="inlineStr">
        <is>
          <t>Q2</t>
        </is>
      </c>
      <c r="AB3" s="230" t="inlineStr">
        <is>
          <t>Q3</t>
        </is>
      </c>
      <c r="AC3" s="230" t="inlineStr">
        <is>
          <t>Q4</t>
        </is>
      </c>
    </row>
    <row r="4" ht="15" customHeight="1" s="160">
      <c r="B4" s="175" t="inlineStr">
        <is>
          <t>Period Index (month #)</t>
        </is>
      </c>
      <c r="C4" s="175" t="inlineStr">
        <is>
          <t>#</t>
        </is>
      </c>
      <c r="E4" s="175" t="n">
        <v>1</v>
      </c>
      <c r="F4" s="175" t="n">
        <v>2</v>
      </c>
      <c r="G4" s="175" t="n">
        <v>3</v>
      </c>
      <c r="H4" s="175" t="n">
        <v>4</v>
      </c>
      <c r="I4" s="175" t="n">
        <v>5</v>
      </c>
      <c r="J4" s="175" t="n">
        <v>6</v>
      </c>
      <c r="K4" s="175" t="n">
        <v>7</v>
      </c>
      <c r="L4" s="175" t="n">
        <v>8</v>
      </c>
      <c r="M4" s="175" t="n">
        <v>9</v>
      </c>
      <c r="N4" s="175" t="n">
        <v>10</v>
      </c>
      <c r="O4" s="175" t="n">
        <v>13</v>
      </c>
      <c r="P4" s="175" t="n">
        <v>16</v>
      </c>
      <c r="Q4" s="175" t="n">
        <v>19</v>
      </c>
      <c r="R4" s="175" t="n">
        <v>22</v>
      </c>
      <c r="S4" s="175" t="n">
        <v>25</v>
      </c>
      <c r="T4" s="175" t="n">
        <v>28</v>
      </c>
      <c r="U4" s="175" t="n">
        <v>31</v>
      </c>
      <c r="V4" s="175" t="n">
        <v>34</v>
      </c>
      <c r="W4" s="175" t="n">
        <v>37</v>
      </c>
      <c r="X4" s="175" t="n">
        <v>40</v>
      </c>
      <c r="Y4" s="175" t="n">
        <v>43</v>
      </c>
      <c r="Z4" s="175" t="n">
        <v>46</v>
      </c>
      <c r="AA4" s="175" t="n">
        <v>49</v>
      </c>
      <c r="AB4" s="175" t="n">
        <v>52</v>
      </c>
      <c r="AC4" s="175" t="n">
        <v>55</v>
      </c>
    </row>
    <row r="5" ht="15" customHeight="1" s="160">
      <c r="B5" s="175" t="inlineStr">
        <is>
          <t>Months in Period</t>
        </is>
      </c>
      <c r="C5" s="175" t="inlineStr">
        <is>
          <t>#</t>
        </is>
      </c>
      <c r="E5" s="175" t="n">
        <v>1</v>
      </c>
      <c r="F5" s="175" t="n">
        <v>1</v>
      </c>
      <c r="G5" s="175" t="n">
        <v>1</v>
      </c>
      <c r="H5" s="175" t="n">
        <v>1</v>
      </c>
      <c r="I5" s="175" t="n">
        <v>1</v>
      </c>
      <c r="J5" s="175" t="n">
        <v>1</v>
      </c>
      <c r="K5" s="175" t="n">
        <v>1</v>
      </c>
      <c r="L5" s="175" t="n">
        <v>1</v>
      </c>
      <c r="M5" s="175" t="n">
        <v>1</v>
      </c>
      <c r="N5" s="175" t="n">
        <v>3</v>
      </c>
      <c r="O5" s="175" t="n">
        <v>3</v>
      </c>
      <c r="P5" s="175" t="n">
        <v>3</v>
      </c>
      <c r="Q5" s="175" t="n">
        <v>3</v>
      </c>
      <c r="R5" s="175" t="n">
        <v>3</v>
      </c>
      <c r="S5" s="175" t="n">
        <v>3</v>
      </c>
      <c r="T5" s="175" t="n">
        <v>3</v>
      </c>
      <c r="U5" s="175" t="n">
        <v>3</v>
      </c>
      <c r="V5" s="175" t="n">
        <v>3</v>
      </c>
      <c r="W5" s="175" t="n">
        <v>3</v>
      </c>
      <c r="X5" s="175" t="n">
        <v>3</v>
      </c>
      <c r="Y5" s="175" t="n">
        <v>3</v>
      </c>
      <c r="Z5" s="175" t="n">
        <v>3</v>
      </c>
      <c r="AA5" s="175" t="n">
        <v>3</v>
      </c>
      <c r="AB5" s="175" t="n">
        <v>3</v>
      </c>
      <c r="AC5" s="175" t="n">
        <v>3</v>
      </c>
    </row>
    <row r="7" ht="15" customHeight="1" s="160">
      <c r="A7" s="187" t="n"/>
      <c r="B7" s="188" t="inlineStr">
        <is>
          <t>A. SALES CAPACITY &amp; NEW LOGO ACQUISITION</t>
        </is>
      </c>
      <c r="C7" s="187" t="n"/>
      <c r="D7" s="187" t="n"/>
      <c r="E7" s="187" t="n"/>
      <c r="F7" s="187" t="n"/>
      <c r="G7" s="187" t="n"/>
      <c r="H7" s="187" t="n"/>
      <c r="I7" s="187" t="n"/>
      <c r="J7" s="187" t="n"/>
      <c r="K7" s="187" t="n"/>
      <c r="L7" s="187" t="n"/>
      <c r="M7" s="187" t="n"/>
      <c r="N7" s="187" t="n"/>
      <c r="O7" s="187" t="n"/>
      <c r="P7" s="187" t="n"/>
      <c r="Q7" s="187" t="n"/>
      <c r="R7" s="187" t="n"/>
      <c r="S7" s="187" t="n"/>
      <c r="T7" s="187" t="n"/>
      <c r="U7" s="187" t="n"/>
      <c r="V7" s="187" t="n"/>
      <c r="W7" s="187" t="n"/>
      <c r="X7" s="187" t="n"/>
      <c r="Y7" s="187" t="n"/>
      <c r="Z7" s="187" t="n"/>
      <c r="AA7" s="187" t="n"/>
      <c r="AB7" s="187" t="n"/>
      <c r="AC7" s="187" t="n"/>
    </row>
    <row r="8" ht="15" customHeight="1" s="160">
      <c r="A8" s="181" t="n"/>
      <c r="B8" s="182" t="inlineStr">
        <is>
          <t>Founder Selling FTEs</t>
        </is>
      </c>
      <c r="C8" s="183" t="inlineStr">
        <is>
          <t>FTE</t>
        </is>
      </c>
      <c r="D8" s="181" t="n"/>
      <c r="E8" s="231">
        <f>1_Assumptions!$F$79+1_Assumptions!$F$80+1_Assumptions!$F$81</f>
        <v/>
      </c>
      <c r="F8" s="231">
        <f>1_Assumptions!$F$79+1_Assumptions!$F$80+1_Assumptions!$F$81</f>
        <v/>
      </c>
      <c r="G8" s="232">
        <f>1_Assumptions!$F$79+1_Assumptions!$F$80+1_Assumptions!$F$81</f>
        <v/>
      </c>
      <c r="H8" s="231">
        <f>1_Assumptions!$F$79+1_Assumptions!$F$80+1_Assumptions!$F$81</f>
        <v/>
      </c>
      <c r="I8" s="231">
        <f>1_Assumptions!$F$79+1_Assumptions!$F$80+1_Assumptions!$F$81</f>
        <v/>
      </c>
      <c r="J8" s="231">
        <f>1_Assumptions!$F$79+1_Assumptions!$F$80+1_Assumptions!$F$81</f>
        <v/>
      </c>
      <c r="K8" s="231">
        <f>1_Assumptions!$F$79+1_Assumptions!$F$80+1_Assumptions!$F$81</f>
        <v/>
      </c>
      <c r="L8" s="231">
        <f>1_Assumptions!$F$79+1_Assumptions!$F$80+1_Assumptions!$F$81</f>
        <v/>
      </c>
      <c r="M8" s="231">
        <f>1_Assumptions!$F$79+1_Assumptions!$F$80+1_Assumptions!$F$81</f>
        <v/>
      </c>
      <c r="N8" s="231">
        <f>1_Assumptions!$F$79+1_Assumptions!$F$80+1_Assumptions!$F$81</f>
        <v/>
      </c>
      <c r="O8" s="231">
        <f>1_Assumptions!$F$79+1_Assumptions!$F$80+1_Assumptions!$F$81</f>
        <v/>
      </c>
      <c r="P8" s="231">
        <f>1_Assumptions!$F$79+1_Assumptions!$F$80+1_Assumptions!$F$81</f>
        <v/>
      </c>
      <c r="Q8" s="231">
        <f>1_Assumptions!$F$79+1_Assumptions!$F$80+1_Assumptions!$F$81</f>
        <v/>
      </c>
      <c r="R8" s="231">
        <f>1_Assumptions!$F$79+1_Assumptions!$F$80+1_Assumptions!$F$81</f>
        <v/>
      </c>
      <c r="S8" s="231">
        <f>1_Assumptions!$F$79+1_Assumptions!$F$80+1_Assumptions!$F$81</f>
        <v/>
      </c>
      <c r="T8" s="231">
        <f>1_Assumptions!$F$79+1_Assumptions!$F$80+1_Assumptions!$F$81</f>
        <v/>
      </c>
      <c r="U8" s="231">
        <f>1_Assumptions!$F$79+1_Assumptions!$F$80+1_Assumptions!$F$81</f>
        <v/>
      </c>
      <c r="V8" s="231">
        <f>1_Assumptions!$F$79+1_Assumptions!$F$80+1_Assumptions!$F$81</f>
        <v/>
      </c>
      <c r="W8" s="231">
        <f>1_Assumptions!$F$79+1_Assumptions!$F$80+1_Assumptions!$F$81</f>
        <v/>
      </c>
      <c r="X8" s="231">
        <f>1_Assumptions!$F$79+1_Assumptions!$F$80+1_Assumptions!$F$81</f>
        <v/>
      </c>
      <c r="Y8" s="231">
        <f>1_Assumptions!$F$79+1_Assumptions!$F$80+1_Assumptions!$F$81</f>
        <v/>
      </c>
      <c r="Z8" s="231">
        <f>1_Assumptions!$F$79+1_Assumptions!$F$80+1_Assumptions!$F$81</f>
        <v/>
      </c>
      <c r="AA8" s="231">
        <f>1_Assumptions!$F$79+1_Assumptions!$F$80+1_Assumptions!$F$81</f>
        <v/>
      </c>
      <c r="AB8" s="231">
        <f>1_Assumptions!$F$79+1_Assumptions!$F$80+1_Assumptions!$F$81</f>
        <v/>
      </c>
      <c r="AC8" s="231">
        <f>1_Assumptions!$F$79+1_Assumptions!$F$80+1_Assumptions!$F$81</f>
        <v/>
      </c>
    </row>
    <row r="9" ht="15" customHeight="1" s="160">
      <c r="A9" s="176" t="n"/>
      <c r="B9" s="177" t="inlineStr">
        <is>
          <t>Active AEs (from 5_Headcount)</t>
        </is>
      </c>
      <c r="C9" s="178" t="inlineStr">
        <is>
          <t>#</t>
        </is>
      </c>
      <c r="D9" s="186" t="n">
        <v>0</v>
      </c>
      <c r="E9" s="177">
        <f>5_Headcount!E63</f>
        <v/>
      </c>
      <c r="F9" s="177">
        <f>5_Headcount!F63</f>
        <v/>
      </c>
      <c r="G9" s="177">
        <f>5_Headcount!G63</f>
        <v/>
      </c>
      <c r="H9" s="177">
        <f>5_Headcount!H63</f>
        <v/>
      </c>
      <c r="I9" s="177">
        <f>5_Headcount!I63</f>
        <v/>
      </c>
      <c r="J9" s="177">
        <f>5_Headcount!J63</f>
        <v/>
      </c>
      <c r="K9" s="177">
        <f>5_Headcount!K63</f>
        <v/>
      </c>
      <c r="L9" s="177">
        <f>5_Headcount!L63</f>
        <v/>
      </c>
      <c r="M9" s="177">
        <f>5_Headcount!M63</f>
        <v/>
      </c>
      <c r="N9" s="177">
        <f>5_Headcount!N63</f>
        <v/>
      </c>
      <c r="O9" s="177">
        <f>5_Headcount!O63</f>
        <v/>
      </c>
      <c r="P9" s="177">
        <f>5_Headcount!P63</f>
        <v/>
      </c>
      <c r="Q9" s="177">
        <f>5_Headcount!Q63</f>
        <v/>
      </c>
      <c r="R9" s="177">
        <f>5_Headcount!R63</f>
        <v/>
      </c>
      <c r="S9" s="177">
        <f>5_Headcount!S63</f>
        <v/>
      </c>
      <c r="T9" s="177">
        <f>5_Headcount!T63</f>
        <v/>
      </c>
      <c r="U9" s="177">
        <f>5_Headcount!U63</f>
        <v/>
      </c>
      <c r="V9" s="177">
        <f>5_Headcount!V63</f>
        <v/>
      </c>
      <c r="W9" s="177">
        <f>5_Headcount!W63</f>
        <v/>
      </c>
      <c r="X9" s="177">
        <f>5_Headcount!X63</f>
        <v/>
      </c>
      <c r="Y9" s="177">
        <f>5_Headcount!Y63</f>
        <v/>
      </c>
      <c r="Z9" s="177">
        <f>5_Headcount!Z63</f>
        <v/>
      </c>
      <c r="AA9" s="177">
        <f>5_Headcount!AA63</f>
        <v/>
      </c>
      <c r="AB9" s="177">
        <f>5_Headcount!AB63</f>
        <v/>
      </c>
      <c r="AC9" s="177">
        <f>5_Headcount!AC63</f>
        <v/>
      </c>
    </row>
    <row r="10" ht="15" customHeight="1" s="160">
      <c r="A10" s="181" t="n"/>
      <c r="B10" s="182" t="inlineStr">
        <is>
          <t>Total Selling FTEs</t>
        </is>
      </c>
      <c r="C10" s="183" t="inlineStr">
        <is>
          <t>FTE</t>
        </is>
      </c>
      <c r="D10" s="181" t="n"/>
      <c r="E10" s="231">
        <f>E8+E9</f>
        <v/>
      </c>
      <c r="F10" s="231">
        <f>F8+F9</f>
        <v/>
      </c>
      <c r="G10" s="231">
        <f>G8+G9</f>
        <v/>
      </c>
      <c r="H10" s="231">
        <f>H8+H9</f>
        <v/>
      </c>
      <c r="I10" s="231">
        <f>I8+I9</f>
        <v/>
      </c>
      <c r="J10" s="231">
        <f>J8+J9</f>
        <v/>
      </c>
      <c r="K10" s="231">
        <f>K8+K9</f>
        <v/>
      </c>
      <c r="L10" s="231">
        <f>L8+L9</f>
        <v/>
      </c>
      <c r="M10" s="231">
        <f>M8+M9</f>
        <v/>
      </c>
      <c r="N10" s="231">
        <f>N8+N9</f>
        <v/>
      </c>
      <c r="O10" s="231">
        <f>O8+O9</f>
        <v/>
      </c>
      <c r="P10" s="231">
        <f>P8+P9</f>
        <v/>
      </c>
      <c r="Q10" s="231">
        <f>Q8+Q9</f>
        <v/>
      </c>
      <c r="R10" s="231">
        <f>R8+R9</f>
        <v/>
      </c>
      <c r="S10" s="231">
        <f>S8+S9</f>
        <v/>
      </c>
      <c r="T10" s="231">
        <f>T8+T9</f>
        <v/>
      </c>
      <c r="U10" s="231">
        <f>U8+U9</f>
        <v/>
      </c>
      <c r="V10" s="231">
        <f>V8+V9</f>
        <v/>
      </c>
      <c r="W10" s="231">
        <f>W8+W9</f>
        <v/>
      </c>
      <c r="X10" s="231">
        <f>X8+X9</f>
        <v/>
      </c>
      <c r="Y10" s="231">
        <f>Y8+Y9</f>
        <v/>
      </c>
      <c r="Z10" s="231">
        <f>Z8+Z9</f>
        <v/>
      </c>
      <c r="AA10" s="231">
        <f>AA8+AA9</f>
        <v/>
      </c>
      <c r="AB10" s="231">
        <f>AB8+AB9</f>
        <v/>
      </c>
      <c r="AC10" s="231">
        <f>AC8+AC9</f>
        <v/>
      </c>
    </row>
    <row r="11" ht="15" customHeight="1" s="160">
      <c r="A11" s="176" t="n"/>
      <c r="B11" s="177" t="inlineStr">
        <is>
          <t>Net-New Deal Capacity (period)</t>
        </is>
      </c>
      <c r="C11" s="178" t="inlineStr">
        <is>
          <t>deals</t>
        </is>
      </c>
      <c r="D11" s="176" t="n"/>
      <c r="E11" s="177">
        <f>((E8+E9)*(1-1_Assumptions!$F$83))*1_Assumptions!$F$82</f>
        <v/>
      </c>
      <c r="F11" s="177">
        <f>((F8+F9)*(1-1_Assumptions!$F$83))*1_Assumptions!$F$82</f>
        <v/>
      </c>
      <c r="G11" s="177">
        <f>((G8+G9)*(1-1_Assumptions!$F$83))*1_Assumptions!$F$82</f>
        <v/>
      </c>
      <c r="H11" s="177">
        <f>((H8+H9)*(1-1_Assumptions!$F$83))*1_Assumptions!$F$82</f>
        <v/>
      </c>
      <c r="I11" s="177">
        <f>((I8+I9)*(1-1_Assumptions!$F$83))*1_Assumptions!$F$82</f>
        <v/>
      </c>
      <c r="J11" s="177">
        <f>((J8+J9)*(1-1_Assumptions!$F$83))*1_Assumptions!$F$82</f>
        <v/>
      </c>
      <c r="K11" s="177">
        <f>((K8+K9)*(1-1_Assumptions!$F$83))*1_Assumptions!$F$82</f>
        <v/>
      </c>
      <c r="L11" s="177">
        <f>((L8+L9)*(1-1_Assumptions!$F$83))*1_Assumptions!$F$82</f>
        <v/>
      </c>
      <c r="M11" s="177">
        <f>((M8+M9)*(1-1_Assumptions!$F$83))*1_Assumptions!$F$82</f>
        <v/>
      </c>
      <c r="N11" s="177">
        <f>N10*(1-1_Assumptions!$F$83)*1_Assumptions!$F$82*3</f>
        <v/>
      </c>
      <c r="O11" s="177">
        <f>O10*(1-1_Assumptions!$F$83)*1_Assumptions!$F$82*3</f>
        <v/>
      </c>
      <c r="P11" s="177">
        <f>P10*(1-1_Assumptions!$F$83)*1_Assumptions!$F$82*3</f>
        <v/>
      </c>
      <c r="Q11" s="177">
        <f>Q10*(1-1_Assumptions!$F$83)*1_Assumptions!$F$82*3</f>
        <v/>
      </c>
      <c r="R11" s="177">
        <f>R10*(1-1_Assumptions!$F$83)*1_Assumptions!$F$82*3</f>
        <v/>
      </c>
      <c r="S11" s="177">
        <f>S10*(1-1_Assumptions!$F$83)*1_Assumptions!$F$82*3</f>
        <v/>
      </c>
      <c r="T11" s="177">
        <f>T10*(1-1_Assumptions!$F$83)*1_Assumptions!$F$82*3</f>
        <v/>
      </c>
      <c r="U11" s="177">
        <f>U10*(1-1_Assumptions!$F$83)*1_Assumptions!$F$82*3</f>
        <v/>
      </c>
      <c r="V11" s="177">
        <f>V10*(1-1_Assumptions!$F$83)*1_Assumptions!$F$82*3</f>
        <v/>
      </c>
      <c r="W11" s="177">
        <f>W10*(1-1_Assumptions!$F$83)*1_Assumptions!$F$82*3</f>
        <v/>
      </c>
      <c r="X11" s="177">
        <f>X10*(1-1_Assumptions!$F$83)*1_Assumptions!$F$82*3</f>
        <v/>
      </c>
      <c r="Y11" s="177">
        <f>Y10*(1-1_Assumptions!$F$83)*1_Assumptions!$F$82*3</f>
        <v/>
      </c>
      <c r="Z11" s="177">
        <f>Z10*(1-1_Assumptions!$F$83)*1_Assumptions!$F$82*3</f>
        <v/>
      </c>
      <c r="AA11" s="177">
        <f>AA10*(1-1_Assumptions!$F$83)*1_Assumptions!$F$82*3</f>
        <v/>
      </c>
      <c r="AB11" s="177">
        <f>AB10*(1-1_Assumptions!$F$83)*1_Assumptions!$F$82*3</f>
        <v/>
      </c>
      <c r="AC11" s="177">
        <f>AC10*(1-1_Assumptions!$F$83)*1_Assumptions!$F$82*3</f>
        <v/>
      </c>
    </row>
    <row r="12" ht="15" customHeight="1" s="160">
      <c r="A12" s="176" t="n"/>
      <c r="B12" s="177" t="inlineStr">
        <is>
          <t>New Logos Raw — SME</t>
        </is>
      </c>
      <c r="C12" s="178" t="inlineStr">
        <is>
          <t>logos</t>
        </is>
      </c>
      <c r="D12" s="186" t="n">
        <v>0</v>
      </c>
      <c r="E12" s="177">
        <f>E$11*1_Assumptions!$F$86</f>
        <v/>
      </c>
      <c r="F12" s="177">
        <f>F$11*1_Assumptions!$F$86</f>
        <v/>
      </c>
      <c r="G12" s="177">
        <f>G$11*1_Assumptions!$F$86</f>
        <v/>
      </c>
      <c r="H12" s="177">
        <f>H$11*1_Assumptions!$F$86</f>
        <v/>
      </c>
      <c r="I12" s="177">
        <f>I$11*1_Assumptions!$F$86</f>
        <v/>
      </c>
      <c r="J12" s="177">
        <f>J$11*1_Assumptions!$F$86</f>
        <v/>
      </c>
      <c r="K12" s="177">
        <f>K$11*1_Assumptions!$F$86</f>
        <v/>
      </c>
      <c r="L12" s="177">
        <f>L$11*1_Assumptions!$F$86</f>
        <v/>
      </c>
      <c r="M12" s="177">
        <f>M$11*1_Assumptions!$F$86</f>
        <v/>
      </c>
      <c r="N12" s="177">
        <f>N$11*1_Assumptions!$F$86</f>
        <v/>
      </c>
      <c r="O12" s="177">
        <f>O$11*1_Assumptions!$F$86</f>
        <v/>
      </c>
      <c r="P12" s="177">
        <f>P$11*1_Assumptions!$F$86</f>
        <v/>
      </c>
      <c r="Q12" s="177">
        <f>Q$11*1_Assumptions!$F$86</f>
        <v/>
      </c>
      <c r="R12" s="177">
        <f>R$11*1_Assumptions!$F$86</f>
        <v/>
      </c>
      <c r="S12" s="177">
        <f>S$11*1_Assumptions!$F$86</f>
        <v/>
      </c>
      <c r="T12" s="177">
        <f>T$11*1_Assumptions!$F$86</f>
        <v/>
      </c>
      <c r="U12" s="177">
        <f>U$11*1_Assumptions!$F$86</f>
        <v/>
      </c>
      <c r="V12" s="177">
        <f>V$11*1_Assumptions!$F$86</f>
        <v/>
      </c>
      <c r="W12" s="177">
        <f>W$11*1_Assumptions!$F$86</f>
        <v/>
      </c>
      <c r="X12" s="177">
        <f>X$11*1_Assumptions!$F$86</f>
        <v/>
      </c>
      <c r="Y12" s="177">
        <f>Y$11*1_Assumptions!$F$86</f>
        <v/>
      </c>
      <c r="Z12" s="177">
        <f>Z$11*1_Assumptions!$F$86</f>
        <v/>
      </c>
      <c r="AA12" s="177">
        <f>AA$11*1_Assumptions!$F$86</f>
        <v/>
      </c>
      <c r="AB12" s="177">
        <f>AB$11*1_Assumptions!$F$86</f>
        <v/>
      </c>
      <c r="AC12" s="177">
        <f>AC$11*1_Assumptions!$F$86</f>
        <v/>
      </c>
    </row>
    <row r="13" ht="15" customHeight="1" s="160">
      <c r="A13" s="233" t="n"/>
      <c r="B13" s="234" t="inlineStr">
        <is>
          <t>New Logos Raw — Large</t>
        </is>
      </c>
      <c r="C13" s="235" t="inlineStr">
        <is>
          <t>logos</t>
        </is>
      </c>
      <c r="D13" s="236" t="n">
        <v>0</v>
      </c>
      <c r="E13" s="234">
        <f>E$11*1_Assumptions!$F$87</f>
        <v/>
      </c>
      <c r="F13" s="234">
        <f>F$11*1_Assumptions!$F$87</f>
        <v/>
      </c>
      <c r="G13" s="234">
        <f>G$11*1_Assumptions!$F$87</f>
        <v/>
      </c>
      <c r="H13" s="234">
        <f>H$11*1_Assumptions!$F$87</f>
        <v/>
      </c>
      <c r="I13" s="234">
        <f>I$11*1_Assumptions!$F$87</f>
        <v/>
      </c>
      <c r="J13" s="234">
        <f>J$11*1_Assumptions!$F$87</f>
        <v/>
      </c>
      <c r="K13" s="234">
        <f>K$11*1_Assumptions!$F$87</f>
        <v/>
      </c>
      <c r="L13" s="234">
        <f>L$11*1_Assumptions!$F$87</f>
        <v/>
      </c>
      <c r="M13" s="234">
        <f>M$11*1_Assumptions!$F$87</f>
        <v/>
      </c>
      <c r="N13" s="234">
        <f>N$11*1_Assumptions!$F$87</f>
        <v/>
      </c>
      <c r="O13" s="234">
        <f>O$11*1_Assumptions!$F$87</f>
        <v/>
      </c>
      <c r="P13" s="234">
        <f>P$11*1_Assumptions!$F$87</f>
        <v/>
      </c>
      <c r="Q13" s="234">
        <f>Q$11*1_Assumptions!$F$87</f>
        <v/>
      </c>
      <c r="R13" s="234">
        <f>R$11*1_Assumptions!$F$87</f>
        <v/>
      </c>
      <c r="S13" s="234">
        <f>S$11*1_Assumptions!$F$87</f>
        <v/>
      </c>
      <c r="T13" s="234">
        <f>T$11*1_Assumptions!$F$87</f>
        <v/>
      </c>
      <c r="U13" s="234">
        <f>U$11*1_Assumptions!$F$87</f>
        <v/>
      </c>
      <c r="V13" s="234">
        <f>V$11*1_Assumptions!$F$87</f>
        <v/>
      </c>
      <c r="W13" s="234">
        <f>W$11*1_Assumptions!$F$87</f>
        <v/>
      </c>
      <c r="X13" s="234">
        <f>X$11*1_Assumptions!$F$87</f>
        <v/>
      </c>
      <c r="Y13" s="234">
        <f>Y$11*1_Assumptions!$F$87</f>
        <v/>
      </c>
      <c r="Z13" s="234">
        <f>Z$11*1_Assumptions!$F$87</f>
        <v/>
      </c>
      <c r="AA13" s="234">
        <f>AA$11*1_Assumptions!$F$87</f>
        <v/>
      </c>
      <c r="AB13" s="234">
        <f>AB$11*1_Assumptions!$F$87</f>
        <v/>
      </c>
      <c r="AC13" s="234">
        <f>AC$11*1_Assumptions!$F$87</f>
        <v/>
      </c>
    </row>
    <row r="14" ht="15" customHeight="1" s="160">
      <c r="A14" s="237" t="n"/>
      <c r="B14" s="238" t="inlineStr">
        <is>
          <t>New Logos Raw — Enterprise</t>
        </is>
      </c>
      <c r="C14" s="239" t="inlineStr">
        <is>
          <t>logos</t>
        </is>
      </c>
      <c r="D14" s="240" t="n">
        <v>0</v>
      </c>
      <c r="E14" s="238">
        <f>E$11*1_Assumptions!$F$88</f>
        <v/>
      </c>
      <c r="F14" s="238">
        <f>F$11*1_Assumptions!$F$88</f>
        <v/>
      </c>
      <c r="G14" s="238">
        <f>G$11*1_Assumptions!$F$88</f>
        <v/>
      </c>
      <c r="H14" s="238">
        <f>H$11*1_Assumptions!$F$88</f>
        <v/>
      </c>
      <c r="I14" s="238">
        <f>I$11*1_Assumptions!$F$88</f>
        <v/>
      </c>
      <c r="J14" s="238">
        <f>J$11*1_Assumptions!$F$88</f>
        <v/>
      </c>
      <c r="K14" s="238">
        <f>K$11*1_Assumptions!$F$88</f>
        <v/>
      </c>
      <c r="L14" s="238">
        <f>L$11*1_Assumptions!$F$88</f>
        <v/>
      </c>
      <c r="M14" s="238">
        <f>M$11*1_Assumptions!$F$88</f>
        <v/>
      </c>
      <c r="N14" s="238">
        <f>N$11*1_Assumptions!$F$88</f>
        <v/>
      </c>
      <c r="O14" s="238">
        <f>O$11*1_Assumptions!$F$88</f>
        <v/>
      </c>
      <c r="P14" s="238">
        <f>P$11*1_Assumptions!$F$88</f>
        <v/>
      </c>
      <c r="Q14" s="238">
        <f>Q$11*1_Assumptions!$F$88</f>
        <v/>
      </c>
      <c r="R14" s="238">
        <f>R$11*1_Assumptions!$F$88</f>
        <v/>
      </c>
      <c r="S14" s="238">
        <f>S$11*1_Assumptions!$F$88</f>
        <v/>
      </c>
      <c r="T14" s="238">
        <f>T$11*1_Assumptions!$F$88</f>
        <v/>
      </c>
      <c r="U14" s="238">
        <f>U$11*1_Assumptions!$F$88</f>
        <v/>
      </c>
      <c r="V14" s="238">
        <f>V$11*1_Assumptions!$F$88</f>
        <v/>
      </c>
      <c r="W14" s="238">
        <f>W$11*1_Assumptions!$F$88</f>
        <v/>
      </c>
      <c r="X14" s="238">
        <f>X$11*1_Assumptions!$F$88</f>
        <v/>
      </c>
      <c r="Y14" s="238">
        <f>Y$11*1_Assumptions!$F$88</f>
        <v/>
      </c>
      <c r="Z14" s="238">
        <f>Z$11*1_Assumptions!$F$88</f>
        <v/>
      </c>
      <c r="AA14" s="238">
        <f>AA$11*1_Assumptions!$F$88</f>
        <v/>
      </c>
      <c r="AB14" s="238">
        <f>AB$11*1_Assumptions!$F$88</f>
        <v/>
      </c>
      <c r="AC14" s="238">
        <f>AC$11*1_Assumptions!$F$88</f>
        <v/>
      </c>
    </row>
    <row r="15" ht="15" customHeight="1" s="160">
      <c r="A15" s="181" t="n"/>
      <c r="B15" s="182" t="inlineStr">
        <is>
          <t>Total Logos Closed — SME</t>
        </is>
      </c>
      <c r="C15" s="183" t="inlineStr">
        <is>
          <t>logos</t>
        </is>
      </c>
      <c r="D15" s="184" t="n">
        <v>0</v>
      </c>
      <c r="E15" s="182">
        <f>ROUNDDOWN(E12,0)</f>
        <v/>
      </c>
      <c r="F15" s="182">
        <f>ROUNDDOWN(SUM($E12:F12),0)</f>
        <v/>
      </c>
      <c r="G15" s="182">
        <f>ROUNDDOWN(SUM($E12:G12),0)</f>
        <v/>
      </c>
      <c r="H15" s="182">
        <f>ROUNDDOWN(SUM($E12:H12),0)</f>
        <v/>
      </c>
      <c r="I15" s="182">
        <f>ROUNDDOWN(SUM($E12:I12),0)</f>
        <v/>
      </c>
      <c r="J15" s="182">
        <f>ROUNDDOWN(SUM($E12:J12),0)</f>
        <v/>
      </c>
      <c r="K15" s="182">
        <f>ROUNDDOWN(SUM($E12:K12),0)</f>
        <v/>
      </c>
      <c r="L15" s="182">
        <f>ROUNDDOWN(SUM($E12:L12),0)</f>
        <v/>
      </c>
      <c r="M15" s="182">
        <f>ROUNDDOWN(SUM($E12:M12),0)</f>
        <v/>
      </c>
      <c r="N15" s="182">
        <f>ROUNDDOWN(SUM($E12:N12),0)</f>
        <v/>
      </c>
      <c r="O15" s="182">
        <f>ROUNDDOWN(SUM($E12:O12),0)</f>
        <v/>
      </c>
      <c r="P15" s="182">
        <f>ROUNDDOWN(SUM($E12:P12),0)</f>
        <v/>
      </c>
      <c r="Q15" s="182">
        <f>ROUNDDOWN(SUM($E12:Q12),0)</f>
        <v/>
      </c>
      <c r="R15" s="182">
        <f>ROUNDDOWN(SUM($E12:R12),0)</f>
        <v/>
      </c>
      <c r="S15" s="182">
        <f>ROUNDDOWN(SUM($E12:S12),0)</f>
        <v/>
      </c>
      <c r="T15" s="182">
        <f>ROUNDDOWN(SUM($E12:T12),0)</f>
        <v/>
      </c>
      <c r="U15" s="182">
        <f>ROUNDDOWN(SUM($E12:U12),0)</f>
        <v/>
      </c>
      <c r="V15" s="182">
        <f>ROUNDDOWN(SUM($E12:V12),0)</f>
        <v/>
      </c>
      <c r="W15" s="182">
        <f>ROUNDDOWN(SUM($E12:W12),0)</f>
        <v/>
      </c>
      <c r="X15" s="182">
        <f>ROUNDDOWN(SUM($E12:X12),0)</f>
        <v/>
      </c>
      <c r="Y15" s="182">
        <f>ROUNDDOWN(SUM($E12:Y12),0)</f>
        <v/>
      </c>
      <c r="Z15" s="182">
        <f>ROUNDDOWN(SUM($E12:Z12),0)</f>
        <v/>
      </c>
      <c r="AA15" s="182">
        <f>ROUNDDOWN(SUM($E12:AA12),0)</f>
        <v/>
      </c>
      <c r="AB15" s="182">
        <f>ROUNDDOWN(SUM($E12:AB12),0)</f>
        <v/>
      </c>
      <c r="AC15" s="182">
        <f>ROUNDDOWN(SUM($E12:AC12),0)</f>
        <v/>
      </c>
    </row>
    <row r="16" ht="15" customHeight="1" s="160">
      <c r="A16" s="176" t="n"/>
      <c r="B16" s="177" t="inlineStr">
        <is>
          <t>Total Logos Closed — Large</t>
        </is>
      </c>
      <c r="C16" s="178" t="inlineStr">
        <is>
          <t>logos</t>
        </is>
      </c>
      <c r="D16" s="186" t="n">
        <v>0</v>
      </c>
      <c r="E16" s="177">
        <f>ROUNDDOWN(E13,0)</f>
        <v/>
      </c>
      <c r="F16" s="177">
        <f>ROUNDDOWN(SUM($E13:F13),0)</f>
        <v/>
      </c>
      <c r="G16" s="177">
        <f>ROUNDDOWN(SUM($E13:G13),0)</f>
        <v/>
      </c>
      <c r="H16" s="177">
        <f>ROUNDDOWN(SUM($E13:H13),0)</f>
        <v/>
      </c>
      <c r="I16" s="177">
        <f>ROUNDDOWN(SUM($E13:I13),0)</f>
        <v/>
      </c>
      <c r="J16" s="177">
        <f>ROUNDDOWN(SUM($E13:J13),0)</f>
        <v/>
      </c>
      <c r="K16" s="177">
        <f>ROUNDDOWN(SUM($E13:K13),0)</f>
        <v/>
      </c>
      <c r="L16" s="177">
        <f>ROUNDDOWN(SUM($E13:L13),0)</f>
        <v/>
      </c>
      <c r="M16" s="177">
        <f>ROUNDDOWN(SUM($E13:M13),0)</f>
        <v/>
      </c>
      <c r="N16" s="177">
        <f>ROUNDDOWN(SUM($E13:N13),0)</f>
        <v/>
      </c>
      <c r="O16" s="177">
        <f>ROUNDDOWN(SUM($E13:O13),0)</f>
        <v/>
      </c>
      <c r="P16" s="177">
        <f>ROUNDDOWN(SUM($E13:P13),0)</f>
        <v/>
      </c>
      <c r="Q16" s="177">
        <f>ROUNDDOWN(SUM($E13:Q13),0)</f>
        <v/>
      </c>
      <c r="R16" s="177">
        <f>ROUNDDOWN(SUM($E13:R13),0)</f>
        <v/>
      </c>
      <c r="S16" s="177">
        <f>ROUNDDOWN(SUM($E13:S13),0)</f>
        <v/>
      </c>
      <c r="T16" s="177">
        <f>ROUNDDOWN(SUM($E13:T13),0)</f>
        <v/>
      </c>
      <c r="U16" s="177">
        <f>ROUNDDOWN(SUM($E13:U13),0)</f>
        <v/>
      </c>
      <c r="V16" s="177">
        <f>ROUNDDOWN(SUM($E13:V13),0)</f>
        <v/>
      </c>
      <c r="W16" s="177">
        <f>ROUNDDOWN(SUM($E13:W13),0)</f>
        <v/>
      </c>
      <c r="X16" s="177">
        <f>ROUNDDOWN(SUM($E13:X13),0)</f>
        <v/>
      </c>
      <c r="Y16" s="177">
        <f>ROUNDDOWN(SUM($E13:Y13),0)</f>
        <v/>
      </c>
      <c r="Z16" s="177">
        <f>ROUNDDOWN(SUM($E13:Z13),0)</f>
        <v/>
      </c>
      <c r="AA16" s="177">
        <f>ROUNDDOWN(SUM($E13:AA13),0)</f>
        <v/>
      </c>
      <c r="AB16" s="177">
        <f>ROUNDDOWN(SUM($E13:AB13),0)</f>
        <v/>
      </c>
      <c r="AC16" s="177">
        <f>ROUNDDOWN(SUM($E13:AC13),0)</f>
        <v/>
      </c>
    </row>
    <row r="17" ht="15" customHeight="1" s="160">
      <c r="A17" s="181" t="n"/>
      <c r="B17" s="182" t="inlineStr">
        <is>
          <t>Total Logos Closed — Enterprise</t>
        </is>
      </c>
      <c r="C17" s="183" t="inlineStr">
        <is>
          <t>logos</t>
        </is>
      </c>
      <c r="D17" s="184" t="n">
        <v>0</v>
      </c>
      <c r="E17" s="182">
        <f>ROUNDDOWN(E14,0)</f>
        <v/>
      </c>
      <c r="F17" s="182">
        <f>ROUNDDOWN(SUM($E14:F14),0)</f>
        <v/>
      </c>
      <c r="G17" s="182">
        <f>ROUNDDOWN(SUM($E14:G14),0)</f>
        <v/>
      </c>
      <c r="H17" s="182">
        <f>ROUNDDOWN(SUM($E14:H14),0)</f>
        <v/>
      </c>
      <c r="I17" s="182">
        <f>ROUNDDOWN(SUM($E14:I14),0)</f>
        <v/>
      </c>
      <c r="J17" s="182">
        <f>ROUNDDOWN(SUM($E14:J14),0)</f>
        <v/>
      </c>
      <c r="K17" s="182">
        <f>ROUNDDOWN(SUM($E14:K14),0)</f>
        <v/>
      </c>
      <c r="L17" s="182">
        <f>ROUNDDOWN(SUM($E14:L14),0)</f>
        <v/>
      </c>
      <c r="M17" s="182">
        <f>ROUNDDOWN(SUM($E14:M14),0)</f>
        <v/>
      </c>
      <c r="N17" s="182">
        <f>ROUNDDOWN(SUM($E14:N14),0)</f>
        <v/>
      </c>
      <c r="O17" s="182">
        <f>ROUNDDOWN(SUM($E14:O14),0)</f>
        <v/>
      </c>
      <c r="P17" s="182">
        <f>ROUNDDOWN(SUM($E14:P14),0)</f>
        <v/>
      </c>
      <c r="Q17" s="182">
        <f>ROUNDDOWN(SUM($E14:Q14),0)</f>
        <v/>
      </c>
      <c r="R17" s="182">
        <f>ROUNDDOWN(SUM($E14:R14),0)</f>
        <v/>
      </c>
      <c r="S17" s="182">
        <f>ROUNDDOWN(SUM($E14:S14),0)</f>
        <v/>
      </c>
      <c r="T17" s="182">
        <f>ROUNDDOWN(SUM($E14:T14),0)</f>
        <v/>
      </c>
      <c r="U17" s="182">
        <f>ROUNDDOWN(SUM($E14:U14),0)</f>
        <v/>
      </c>
      <c r="V17" s="182">
        <f>ROUNDDOWN(SUM($E14:V14),0)</f>
        <v/>
      </c>
      <c r="W17" s="182">
        <f>ROUNDDOWN(SUM($E14:W14),0)</f>
        <v/>
      </c>
      <c r="X17" s="182">
        <f>ROUNDDOWN(SUM($E14:X14),0)</f>
        <v/>
      </c>
      <c r="Y17" s="182">
        <f>ROUNDDOWN(SUM($E14:Y14),0)</f>
        <v/>
      </c>
      <c r="Z17" s="182">
        <f>ROUNDDOWN(SUM($E14:Z14),0)</f>
        <v/>
      </c>
      <c r="AA17" s="182">
        <f>ROUNDDOWN(SUM($E14:AA14),0)</f>
        <v/>
      </c>
      <c r="AB17" s="182">
        <f>ROUNDDOWN(SUM($E14:AB14),0)</f>
        <v/>
      </c>
      <c r="AC17" s="182">
        <f>ROUNDDOWN(SUM($E14:AC14),0)</f>
        <v/>
      </c>
    </row>
    <row r="18" ht="15" customHeight="1" s="160">
      <c r="A18" s="176" t="n"/>
      <c r="B18" s="177" t="inlineStr">
        <is>
          <t>New Logos — SME</t>
        </is>
      </c>
      <c r="C18" s="178" t="inlineStr">
        <is>
          <t>logos</t>
        </is>
      </c>
      <c r="D18" s="186" t="n">
        <v>0</v>
      </c>
      <c r="E18" s="177">
        <f>E15</f>
        <v/>
      </c>
      <c r="F18" s="177">
        <f>F15-E15</f>
        <v/>
      </c>
      <c r="G18" s="177">
        <f>G15-F15</f>
        <v/>
      </c>
      <c r="H18" s="177">
        <f>H15-G15</f>
        <v/>
      </c>
      <c r="I18" s="177">
        <f>I15-H15</f>
        <v/>
      </c>
      <c r="J18" s="177">
        <f>J15-I15</f>
        <v/>
      </c>
      <c r="K18" s="177">
        <f>K15-J15</f>
        <v/>
      </c>
      <c r="L18" s="177">
        <f>L15-K15</f>
        <v/>
      </c>
      <c r="M18" s="177">
        <f>M15-L15</f>
        <v/>
      </c>
      <c r="N18" s="177">
        <f>N15-M15</f>
        <v/>
      </c>
      <c r="O18" s="177">
        <f>O15-N15</f>
        <v/>
      </c>
      <c r="P18" s="177">
        <f>P15-O15</f>
        <v/>
      </c>
      <c r="Q18" s="177">
        <f>Q15-P15</f>
        <v/>
      </c>
      <c r="R18" s="177">
        <f>R15-Q15</f>
        <v/>
      </c>
      <c r="S18" s="177">
        <f>S15-R15</f>
        <v/>
      </c>
      <c r="T18" s="177">
        <f>T15-S15</f>
        <v/>
      </c>
      <c r="U18" s="177">
        <f>U15-T15</f>
        <v/>
      </c>
      <c r="V18" s="177">
        <f>V15-U15</f>
        <v/>
      </c>
      <c r="W18" s="177">
        <f>W15-V15</f>
        <v/>
      </c>
      <c r="X18" s="177">
        <f>X15-W15</f>
        <v/>
      </c>
      <c r="Y18" s="177">
        <f>Y15-X15</f>
        <v/>
      </c>
      <c r="Z18" s="177">
        <f>Z15-Y15</f>
        <v/>
      </c>
      <c r="AA18" s="177">
        <f>AA15-Z15</f>
        <v/>
      </c>
      <c r="AB18" s="177">
        <f>AB15-AA15</f>
        <v/>
      </c>
      <c r="AC18" s="177">
        <f>AC15-AB15</f>
        <v/>
      </c>
    </row>
    <row r="19" ht="15" customHeight="1" s="160">
      <c r="A19" s="181" t="n"/>
      <c r="B19" s="182" t="inlineStr">
        <is>
          <t>New Logos — Large</t>
        </is>
      </c>
      <c r="C19" s="183" t="inlineStr">
        <is>
          <t>logos</t>
        </is>
      </c>
      <c r="D19" s="184" t="n">
        <v>0</v>
      </c>
      <c r="E19" s="182">
        <f>E16</f>
        <v/>
      </c>
      <c r="F19" s="182">
        <f>F16-E16</f>
        <v/>
      </c>
      <c r="G19" s="182">
        <f>G16-F16</f>
        <v/>
      </c>
      <c r="H19" s="182">
        <f>H16-G16</f>
        <v/>
      </c>
      <c r="I19" s="182">
        <f>I16-H16</f>
        <v/>
      </c>
      <c r="J19" s="182">
        <f>J16-I16</f>
        <v/>
      </c>
      <c r="K19" s="182">
        <f>K16-J16</f>
        <v/>
      </c>
      <c r="L19" s="182">
        <f>L16-K16</f>
        <v/>
      </c>
      <c r="M19" s="182">
        <f>M16-L16</f>
        <v/>
      </c>
      <c r="N19" s="182">
        <f>N16-M16</f>
        <v/>
      </c>
      <c r="O19" s="182">
        <f>O16-N16</f>
        <v/>
      </c>
      <c r="P19" s="182">
        <f>P16-O16</f>
        <v/>
      </c>
      <c r="Q19" s="182">
        <f>Q16-P16</f>
        <v/>
      </c>
      <c r="R19" s="182">
        <f>R16-Q16</f>
        <v/>
      </c>
      <c r="S19" s="182">
        <f>S16-R16</f>
        <v/>
      </c>
      <c r="T19" s="182">
        <f>T16-S16</f>
        <v/>
      </c>
      <c r="U19" s="182">
        <f>U16-T16</f>
        <v/>
      </c>
      <c r="V19" s="182">
        <f>V16-U16</f>
        <v/>
      </c>
      <c r="W19" s="182">
        <f>W16-V16</f>
        <v/>
      </c>
      <c r="X19" s="182">
        <f>X16-W16</f>
        <v/>
      </c>
      <c r="Y19" s="182">
        <f>Y16-X16</f>
        <v/>
      </c>
      <c r="Z19" s="182">
        <f>Z16-Y16</f>
        <v/>
      </c>
      <c r="AA19" s="182">
        <f>AA16-Z16</f>
        <v/>
      </c>
      <c r="AB19" s="182">
        <f>AB16-AA16</f>
        <v/>
      </c>
      <c r="AC19" s="182">
        <f>AC16-AB16</f>
        <v/>
      </c>
    </row>
    <row r="20" ht="15" customHeight="1" s="160">
      <c r="A20" s="176" t="n"/>
      <c r="B20" s="177" t="inlineStr">
        <is>
          <t>New Logos — Enterprise</t>
        </is>
      </c>
      <c r="C20" s="178" t="inlineStr">
        <is>
          <t>logos</t>
        </is>
      </c>
      <c r="D20" s="186" t="n">
        <v>0</v>
      </c>
      <c r="E20" s="177">
        <f>E17</f>
        <v/>
      </c>
      <c r="F20" s="177">
        <f>F17-E17</f>
        <v/>
      </c>
      <c r="G20" s="177">
        <f>G17-F17</f>
        <v/>
      </c>
      <c r="H20" s="177">
        <f>H17-G17</f>
        <v/>
      </c>
      <c r="I20" s="177">
        <f>I17-H17</f>
        <v/>
      </c>
      <c r="J20" s="177">
        <f>J17-I17</f>
        <v/>
      </c>
      <c r="K20" s="177">
        <f>K17-J17</f>
        <v/>
      </c>
      <c r="L20" s="177">
        <f>L17-K17</f>
        <v/>
      </c>
      <c r="M20" s="177">
        <f>M17-L17</f>
        <v/>
      </c>
      <c r="N20" s="177">
        <f>N17-M17</f>
        <v/>
      </c>
      <c r="O20" s="177">
        <f>O17-N17</f>
        <v/>
      </c>
      <c r="P20" s="177">
        <f>P17-O17</f>
        <v/>
      </c>
      <c r="Q20" s="177">
        <f>Q17-P17</f>
        <v/>
      </c>
      <c r="R20" s="177">
        <f>R17-Q17</f>
        <v/>
      </c>
      <c r="S20" s="177">
        <f>S17-R17</f>
        <v/>
      </c>
      <c r="T20" s="177">
        <f>T17-S17</f>
        <v/>
      </c>
      <c r="U20" s="177">
        <f>U17-T17</f>
        <v/>
      </c>
      <c r="V20" s="177">
        <f>V17-U17</f>
        <v/>
      </c>
      <c r="W20" s="177">
        <f>W17-V17</f>
        <v/>
      </c>
      <c r="X20" s="177">
        <f>X17-W17</f>
        <v/>
      </c>
      <c r="Y20" s="177">
        <f>Y17-X17</f>
        <v/>
      </c>
      <c r="Z20" s="177">
        <f>Z17-Y17</f>
        <v/>
      </c>
      <c r="AA20" s="177">
        <f>AA17-Z17</f>
        <v/>
      </c>
      <c r="AB20" s="177">
        <f>AB17-AA17</f>
        <v/>
      </c>
      <c r="AC20" s="177">
        <f>AC17-AB17</f>
        <v/>
      </c>
    </row>
    <row r="21" ht="15" customHeight="1" s="160">
      <c r="A21" s="181" t="n"/>
      <c r="B21" s="182" t="inlineStr">
        <is>
          <t>Total New Logos</t>
        </is>
      </c>
      <c r="C21" s="183" t="inlineStr">
        <is>
          <t>logos</t>
        </is>
      </c>
      <c r="D21" s="181" t="n"/>
      <c r="E21" s="182">
        <f>E18+E19+E20</f>
        <v/>
      </c>
      <c r="F21" s="182">
        <f>F18+F19+F20</f>
        <v/>
      </c>
      <c r="G21" s="182">
        <f>G18+G19+G20</f>
        <v/>
      </c>
      <c r="H21" s="182">
        <f>H18+H19+H20</f>
        <v/>
      </c>
      <c r="I21" s="182">
        <f>I18+I19+I20</f>
        <v/>
      </c>
      <c r="J21" s="182">
        <f>J18+J19+J20</f>
        <v/>
      </c>
      <c r="K21" s="182">
        <f>K18+K19+K20</f>
        <v/>
      </c>
      <c r="L21" s="182">
        <f>L18+L19+L20</f>
        <v/>
      </c>
      <c r="M21" s="182">
        <f>M18+M19+M20</f>
        <v/>
      </c>
      <c r="N21" s="182">
        <f>N18+N19+N20</f>
        <v/>
      </c>
      <c r="O21" s="182">
        <f>O18+O19+O20</f>
        <v/>
      </c>
      <c r="P21" s="182">
        <f>P18+P19+P20</f>
        <v/>
      </c>
      <c r="Q21" s="182">
        <f>Q18+Q19+Q20</f>
        <v/>
      </c>
      <c r="R21" s="182">
        <f>R18+R19+R20</f>
        <v/>
      </c>
      <c r="S21" s="182">
        <f>S18+S19+S20</f>
        <v/>
      </c>
      <c r="T21" s="182">
        <f>T18+T19+T20</f>
        <v/>
      </c>
      <c r="U21" s="182">
        <f>U18+U19+U20</f>
        <v/>
      </c>
      <c r="V21" s="182">
        <f>V18+V19+V20</f>
        <v/>
      </c>
      <c r="W21" s="182">
        <f>W18+W19+W20</f>
        <v/>
      </c>
      <c r="X21" s="182">
        <f>X18+X19+X20</f>
        <v/>
      </c>
      <c r="Y21" s="182">
        <f>Y18+Y19+Y20</f>
        <v/>
      </c>
      <c r="Z21" s="182">
        <f>Z18+Z19+Z20</f>
        <v/>
      </c>
      <c r="AA21" s="182">
        <f>AA18+AA19+AA20</f>
        <v/>
      </c>
      <c r="AB21" s="182">
        <f>AB18+AB19+AB20</f>
        <v/>
      </c>
      <c r="AC21" s="182">
        <f>AC18+AC19+AC20</f>
        <v/>
      </c>
    </row>
    <row r="23" ht="15" customHeight="1" s="160">
      <c r="A23" s="187" t="n"/>
      <c r="B23" s="188" t="inlineStr">
        <is>
          <t>B. INSTALLED LOGO BASE (end of period, after churn)</t>
        </is>
      </c>
      <c r="C23" s="187" t="n"/>
      <c r="D23" s="187" t="n"/>
      <c r="E23" s="187" t="n"/>
      <c r="F23" s="187" t="n"/>
      <c r="G23" s="187" t="n"/>
      <c r="H23" s="187" t="n"/>
      <c r="I23" s="187" t="n"/>
      <c r="J23" s="187" t="n"/>
      <c r="K23" s="187" t="n"/>
      <c r="L23" s="187" t="n"/>
      <c r="M23" s="187" t="n"/>
      <c r="N23" s="187" t="n"/>
      <c r="O23" s="187" t="n"/>
      <c r="P23" s="187" t="n"/>
      <c r="Q23" s="187" t="n"/>
      <c r="R23" s="187" t="n"/>
      <c r="S23" s="187" t="n"/>
      <c r="T23" s="187" t="n"/>
      <c r="U23" s="187" t="n"/>
      <c r="V23" s="187" t="n"/>
      <c r="W23" s="187" t="n"/>
      <c r="X23" s="187" t="n"/>
      <c r="Y23" s="187" t="n"/>
      <c r="Z23" s="187" t="n"/>
      <c r="AA23" s="187" t="n"/>
      <c r="AB23" s="187" t="n"/>
      <c r="AC23" s="187" t="n"/>
    </row>
    <row r="24" ht="15" customHeight="1" s="160">
      <c r="A24" s="181" t="n"/>
      <c r="B24" s="182" t="inlineStr">
        <is>
          <t>Installed Base — SME</t>
        </is>
      </c>
      <c r="C24" s="183" t="inlineStr">
        <is>
          <t>logos</t>
        </is>
      </c>
      <c r="D24" s="184" t="n">
        <v>0</v>
      </c>
      <c r="E24" s="182">
        <f>(1_Assumptions!$F74+E18)</f>
        <v/>
      </c>
      <c r="F24" s="182">
        <f>ROUND((E24*(1-1_Assumptions!$F$104)^1+F18),0)</f>
        <v/>
      </c>
      <c r="G24" s="182">
        <f>ROUND((F24*(1-1_Assumptions!$F$104)^1+G18),0)</f>
        <v/>
      </c>
      <c r="H24" s="182">
        <f>ROUND((G24*(1-1_Assumptions!$F$104)^1+H18),0)</f>
        <v/>
      </c>
      <c r="I24" s="182">
        <f>ROUND((H24*(1-1_Assumptions!$F$104)^1+I18),0)</f>
        <v/>
      </c>
      <c r="J24" s="182">
        <f>ROUND((I24*(1-1_Assumptions!$F$104)^1+J18),0)</f>
        <v/>
      </c>
      <c r="K24" s="182">
        <f>ROUND((J24*(1-1_Assumptions!$F$104)^1+K18),0)</f>
        <v/>
      </c>
      <c r="L24" s="182">
        <f>ROUND((K24*(1-1_Assumptions!$F$104)^1+L18),0)</f>
        <v/>
      </c>
      <c r="M24" s="182">
        <f>ROUND((L24*(1-1_Assumptions!$F$104)^1+M18),0)</f>
        <v/>
      </c>
      <c r="N24" s="182">
        <f>ROUND((M24*(1-1_Assumptions!$F$104)^3+N18),0)</f>
        <v/>
      </c>
      <c r="O24" s="182">
        <f>ROUND((N24*(1-1_Assumptions!$F$104)^3+O18),0)</f>
        <v/>
      </c>
      <c r="P24" s="182">
        <f>ROUND((O24*(1-1_Assumptions!$F$104)^3+P18),0)</f>
        <v/>
      </c>
      <c r="Q24" s="182">
        <f>ROUND((P24*(1-1_Assumptions!$F$104)^3+Q18),0)</f>
        <v/>
      </c>
      <c r="R24" s="182">
        <f>ROUND((Q24*(1-1_Assumptions!$F$104)^3+R18),0)</f>
        <v/>
      </c>
      <c r="S24" s="182">
        <f>ROUND((R24*(1-1_Assumptions!$F$104)^3+S18),0)</f>
        <v/>
      </c>
      <c r="T24" s="182">
        <f>ROUND((S24*(1-1_Assumptions!$F$104)^3+T18),0)</f>
        <v/>
      </c>
      <c r="U24" s="182">
        <f>ROUND((T24*(1-1_Assumptions!$F$104)^3+U18),0)</f>
        <v/>
      </c>
      <c r="V24" s="182">
        <f>ROUND((U24*(1-1_Assumptions!$F$104)^3+V18),0)</f>
        <v/>
      </c>
      <c r="W24" s="182">
        <f>ROUND((V24*(1-1_Assumptions!$F$104)^3+W18),0)</f>
        <v/>
      </c>
      <c r="X24" s="182">
        <f>ROUND((W24*(1-1_Assumptions!$F$104)^3+X18),0)</f>
        <v/>
      </c>
      <c r="Y24" s="182">
        <f>ROUND((X24*(1-1_Assumptions!$F$104)^3+Y18),0)</f>
        <v/>
      </c>
      <c r="Z24" s="182">
        <f>ROUND((Y24*(1-1_Assumptions!$F$104)^3+Z18),0)</f>
        <v/>
      </c>
      <c r="AA24" s="182">
        <f>ROUND((Z24*(1-1_Assumptions!$F$104)^3+AA18),0)</f>
        <v/>
      </c>
      <c r="AB24" s="182">
        <f>ROUND((AA24*(1-1_Assumptions!$F$104)^3+AB18),0)</f>
        <v/>
      </c>
      <c r="AC24" s="182">
        <f>ROUND((AB24*(1-1_Assumptions!$F$104)^3+AC18),0)</f>
        <v/>
      </c>
    </row>
    <row r="25" ht="15" customHeight="1" s="160">
      <c r="A25" s="204" t="n"/>
      <c r="B25" s="177" t="inlineStr">
        <is>
          <t>Installed Base — Large</t>
        </is>
      </c>
      <c r="C25" s="178" t="inlineStr">
        <is>
          <t>logos</t>
        </is>
      </c>
      <c r="D25" s="186" t="n">
        <v>0</v>
      </c>
      <c r="E25" s="177">
        <f>(1_Assumptions!$F75+E19)</f>
        <v/>
      </c>
      <c r="F25" s="177">
        <f>ROUND((E25*(1-1_Assumptions!$F$105)^1+F19),0)</f>
        <v/>
      </c>
      <c r="G25" s="177">
        <f>ROUND((F25*(1-1_Assumptions!$F$105)^1+G19),0)</f>
        <v/>
      </c>
      <c r="H25" s="177">
        <f>ROUND((G25*(1-1_Assumptions!$F$105)^1+H19),0)</f>
        <v/>
      </c>
      <c r="I25" s="177">
        <f>ROUND((H25*(1-1_Assumptions!$F$105)^1+I19),0)</f>
        <v/>
      </c>
      <c r="J25" s="177">
        <f>ROUND((I25*(1-1_Assumptions!$F$105)^1+J19),0)</f>
        <v/>
      </c>
      <c r="K25" s="177">
        <f>ROUND((J25*(1-1_Assumptions!$F$105)^1+K19),0)</f>
        <v/>
      </c>
      <c r="L25" s="177">
        <f>ROUND((K25*(1-1_Assumptions!$F$105)^1+L19),0)</f>
        <v/>
      </c>
      <c r="M25" s="177">
        <f>ROUND((L25*(1-1_Assumptions!$F$105)^1+M19),0)</f>
        <v/>
      </c>
      <c r="N25" s="177">
        <f>ROUND((M25*(1-1_Assumptions!$F$105)^3+N19),0)</f>
        <v/>
      </c>
      <c r="O25" s="177">
        <f>ROUND((N25*(1-1_Assumptions!$F$105)^3+O19),0)</f>
        <v/>
      </c>
      <c r="P25" s="177">
        <f>ROUND((O25*(1-1_Assumptions!$F$105)^3+P19),0)</f>
        <v/>
      </c>
      <c r="Q25" s="177">
        <f>ROUND((P25*(1-1_Assumptions!$F$105)^3+Q19),0)</f>
        <v/>
      </c>
      <c r="R25" s="177">
        <f>ROUND((Q25*(1-1_Assumptions!$F$105)^3+R19),0)</f>
        <v/>
      </c>
      <c r="S25" s="177">
        <f>ROUND((R25*(1-1_Assumptions!$F$105)^3+S19),0)</f>
        <v/>
      </c>
      <c r="T25" s="177">
        <f>ROUND((S25*(1-1_Assumptions!$F$105)^3+T19),0)</f>
        <v/>
      </c>
      <c r="U25" s="177">
        <f>ROUND((T25*(1-1_Assumptions!$F$105)^3+U19),0)</f>
        <v/>
      </c>
      <c r="V25" s="177">
        <f>ROUND((U25*(1-1_Assumptions!$F$105)^3+V19),0)</f>
        <v/>
      </c>
      <c r="W25" s="177">
        <f>ROUND((V25*(1-1_Assumptions!$F$105)^3+W19),0)</f>
        <v/>
      </c>
      <c r="X25" s="177">
        <f>ROUND((W25*(1-1_Assumptions!$F$105)^3+X19),0)</f>
        <v/>
      </c>
      <c r="Y25" s="177">
        <f>ROUND((X25*(1-1_Assumptions!$F$105)^3+Y19),0)</f>
        <v/>
      </c>
      <c r="Z25" s="177">
        <f>ROUND((Y25*(1-1_Assumptions!$F$105)^3+Z19),0)</f>
        <v/>
      </c>
      <c r="AA25" s="177">
        <f>ROUND((Z25*(1-1_Assumptions!$F$105)^3+AA19),0)</f>
        <v/>
      </c>
      <c r="AB25" s="177">
        <f>ROUND((AA25*(1-1_Assumptions!$F$105)^3+AB19),0)</f>
        <v/>
      </c>
      <c r="AC25" s="177">
        <f>ROUND((AB25*(1-1_Assumptions!$F$105)^3+AC19),0)</f>
        <v/>
      </c>
    </row>
    <row r="26" ht="15" customHeight="1" s="160">
      <c r="A26" s="181" t="n"/>
      <c r="B26" s="182" t="inlineStr">
        <is>
          <t>Installed Base — Enterprise</t>
        </is>
      </c>
      <c r="C26" s="183" t="inlineStr">
        <is>
          <t>logos</t>
        </is>
      </c>
      <c r="D26" s="184" t="n">
        <v>0</v>
      </c>
      <c r="E26" s="182">
        <f>(1_Assumptions!$F76+E20)</f>
        <v/>
      </c>
      <c r="F26" s="182">
        <f>ROUND((E26*(1-1_Assumptions!$F$106)^1+F20),0)</f>
        <v/>
      </c>
      <c r="G26" s="182">
        <f>ROUND((F26*(1-1_Assumptions!$F$106)^1+G20),0)</f>
        <v/>
      </c>
      <c r="H26" s="182">
        <f>ROUND((G26*(1-1_Assumptions!$F$106)^1+H20),0)</f>
        <v/>
      </c>
      <c r="I26" s="182">
        <f>ROUND((H26*(1-1_Assumptions!$F$106)^1+I20),0)</f>
        <v/>
      </c>
      <c r="J26" s="182">
        <f>ROUND((I26*(1-1_Assumptions!$F$106)^1+J20),0)</f>
        <v/>
      </c>
      <c r="K26" s="182">
        <f>ROUND((J26*(1-1_Assumptions!$F$106)^1+K20),0)</f>
        <v/>
      </c>
      <c r="L26" s="182">
        <f>ROUND((K26*(1-1_Assumptions!$F$106)^1+L20),0)</f>
        <v/>
      </c>
      <c r="M26" s="182">
        <f>ROUND((L26*(1-1_Assumptions!$F$106)^1+M20),0)</f>
        <v/>
      </c>
      <c r="N26" s="182">
        <f>ROUND((M26*(1-1_Assumptions!$F$106)^3+N20),0)</f>
        <v/>
      </c>
      <c r="O26" s="182">
        <f>ROUND((N26*(1-1_Assumptions!$F$106)^3+O20),0)</f>
        <v/>
      </c>
      <c r="P26" s="182">
        <f>ROUND((O26*(1-1_Assumptions!$F$106)^3+P20),0)</f>
        <v/>
      </c>
      <c r="Q26" s="182">
        <f>ROUND((P26*(1-1_Assumptions!$F$106)^3+Q20),0)</f>
        <v/>
      </c>
      <c r="R26" s="182">
        <f>ROUND((Q26*(1-1_Assumptions!$F$106)^3+R20),0)</f>
        <v/>
      </c>
      <c r="S26" s="182">
        <f>ROUND((R26*(1-1_Assumptions!$F$106)^3+S20),0)</f>
        <v/>
      </c>
      <c r="T26" s="182">
        <f>ROUND((S26*(1-1_Assumptions!$F$106)^3+T20),0)</f>
        <v/>
      </c>
      <c r="U26" s="182">
        <f>ROUND((T26*(1-1_Assumptions!$F$106)^3+U20),0)</f>
        <v/>
      </c>
      <c r="V26" s="182">
        <f>ROUND((U26*(1-1_Assumptions!$F$106)^3+V20),0)</f>
        <v/>
      </c>
      <c r="W26" s="182">
        <f>ROUND((V26*(1-1_Assumptions!$F$106)^3+W20),0)</f>
        <v/>
      </c>
      <c r="X26" s="182">
        <f>ROUND((W26*(1-1_Assumptions!$F$106)^3+X20),0)</f>
        <v/>
      </c>
      <c r="Y26" s="182">
        <f>ROUND((X26*(1-1_Assumptions!$F$106)^3+Y20),0)</f>
        <v/>
      </c>
      <c r="Z26" s="182">
        <f>ROUND((Y26*(1-1_Assumptions!$F$106)^3+Z20),0)</f>
        <v/>
      </c>
      <c r="AA26" s="182">
        <f>ROUND((Z26*(1-1_Assumptions!$F$106)^3+AA20),0)</f>
        <v/>
      </c>
      <c r="AB26" s="182">
        <f>ROUND((AA26*(1-1_Assumptions!$F$106)^3+AB20),0)</f>
        <v/>
      </c>
      <c r="AC26" s="182">
        <f>ROUND((AB26*(1-1_Assumptions!$F$106)^3+AC20),0)</f>
        <v/>
      </c>
    </row>
    <row r="27" ht="15" customHeight="1" s="160">
      <c r="A27" s="176" t="n"/>
      <c r="B27" s="177" t="inlineStr">
        <is>
          <t>Total Installed Base</t>
        </is>
      </c>
      <c r="C27" s="178" t="inlineStr">
        <is>
          <t>logos</t>
        </is>
      </c>
      <c r="D27" s="176" t="n"/>
      <c r="E27" s="177">
        <f>E24+E25+E26</f>
        <v/>
      </c>
      <c r="F27" s="177">
        <f>F24+F25+F26</f>
        <v/>
      </c>
      <c r="G27" s="177">
        <f>G24+G25+G26</f>
        <v/>
      </c>
      <c r="H27" s="177">
        <f>H24+H25+H26</f>
        <v/>
      </c>
      <c r="I27" s="177">
        <f>I24+I25+I26</f>
        <v/>
      </c>
      <c r="J27" s="177">
        <f>J24+J25+J26</f>
        <v/>
      </c>
      <c r="K27" s="177">
        <f>K24+K25+K26</f>
        <v/>
      </c>
      <c r="L27" s="177">
        <f>L24+L25+L26</f>
        <v/>
      </c>
      <c r="M27" s="177">
        <f>M24+M25+M26</f>
        <v/>
      </c>
      <c r="N27" s="177">
        <f>N24+N25+N26</f>
        <v/>
      </c>
      <c r="O27" s="177">
        <f>O24+O25+O26</f>
        <v/>
      </c>
      <c r="P27" s="177">
        <f>P24+P25+P26</f>
        <v/>
      </c>
      <c r="Q27" s="177">
        <f>Q24+Q25+Q26</f>
        <v/>
      </c>
      <c r="R27" s="177">
        <f>R24+R25+R26</f>
        <v/>
      </c>
      <c r="S27" s="177">
        <f>S24+S25+S26</f>
        <v/>
      </c>
      <c r="T27" s="177">
        <f>T24+T25+T26</f>
        <v/>
      </c>
      <c r="U27" s="177">
        <f>U24+U25+U26</f>
        <v/>
      </c>
      <c r="V27" s="177">
        <f>V24+V25+V26</f>
        <v/>
      </c>
      <c r="W27" s="177">
        <f>W24+W25+W26</f>
        <v/>
      </c>
      <c r="X27" s="177">
        <f>X24+X25+X26</f>
        <v/>
      </c>
      <c r="Y27" s="177">
        <f>Y24+Y25+Y26</f>
        <v/>
      </c>
      <c r="Z27" s="177">
        <f>Z24+Z25+Z26</f>
        <v/>
      </c>
      <c r="AA27" s="177">
        <f>AA24+AA25+AA26</f>
        <v/>
      </c>
      <c r="AB27" s="177">
        <f>AB24+AB25+AB26</f>
        <v/>
      </c>
      <c r="AC27" s="177">
        <f>AC24+AC25+AC26</f>
        <v/>
      </c>
    </row>
    <row r="29" ht="15" customHeight="1" s="160">
      <c r="A29" s="187" t="n"/>
      <c r="B29" s="188" t="inlineStr">
        <is>
          <t>C. MODULE PENETRATION % (% of logo base with each module)</t>
        </is>
      </c>
      <c r="C29" s="187" t="n"/>
      <c r="D29" s="241" t="n"/>
      <c r="E29" s="241" t="n"/>
      <c r="F29" s="241" t="n"/>
      <c r="G29" s="241" t="n"/>
      <c r="H29" s="241" t="n"/>
      <c r="I29" s="241" t="n"/>
      <c r="J29" s="241" t="n"/>
      <c r="K29" s="241" t="n"/>
      <c r="L29" s="241" t="n"/>
      <c r="M29" s="241" t="n"/>
      <c r="N29" s="241" t="n"/>
      <c r="O29" s="241" t="n"/>
      <c r="P29" s="241" t="n"/>
      <c r="Q29" s="241" t="n"/>
      <c r="R29" s="241" t="n"/>
      <c r="S29" s="241" t="n"/>
      <c r="T29" s="241" t="n"/>
      <c r="U29" s="241" t="n"/>
      <c r="V29" s="241" t="n"/>
      <c r="W29" s="241" t="n"/>
      <c r="X29" s="241" t="n"/>
      <c r="Y29" s="241" t="n"/>
      <c r="Z29" s="241" t="n"/>
      <c r="AA29" s="241" t="n"/>
      <c r="AB29" s="241" t="n"/>
      <c r="AC29" s="241" t="n"/>
    </row>
    <row r="30" ht="15" customHeight="1" s="160">
      <c r="A30" s="181" t="n"/>
      <c r="B30" s="182" t="inlineStr">
        <is>
          <t xml:space="preserve">  M1: AI Design — Penetration %</t>
        </is>
      </c>
      <c r="C30" s="183" t="inlineStr">
        <is>
          <t>%</t>
        </is>
      </c>
      <c r="D30" s="215" t="n"/>
      <c r="E30" s="197" t="n">
        <v>1</v>
      </c>
      <c r="F30" s="197" t="n">
        <v>1</v>
      </c>
      <c r="G30" s="197" t="n">
        <v>1</v>
      </c>
      <c r="H30" s="197" t="n">
        <v>1</v>
      </c>
      <c r="I30" s="197" t="n">
        <v>1</v>
      </c>
      <c r="J30" s="197" t="n">
        <v>1</v>
      </c>
      <c r="K30" s="197" t="n">
        <v>1</v>
      </c>
      <c r="L30" s="197" t="n">
        <v>1</v>
      </c>
      <c r="M30" s="197" t="n">
        <v>1</v>
      </c>
      <c r="N30" s="197" t="n">
        <v>1</v>
      </c>
      <c r="O30" s="197" t="n">
        <v>1</v>
      </c>
      <c r="P30" s="197" t="n">
        <v>1</v>
      </c>
      <c r="Q30" s="197" t="n">
        <v>1</v>
      </c>
      <c r="R30" s="197" t="n">
        <v>1</v>
      </c>
      <c r="S30" s="197" t="n">
        <v>1</v>
      </c>
      <c r="T30" s="197" t="n">
        <v>1</v>
      </c>
      <c r="U30" s="197" t="n">
        <v>1</v>
      </c>
      <c r="V30" s="197" t="n">
        <v>1</v>
      </c>
      <c r="W30" s="197" t="n">
        <v>1</v>
      </c>
      <c r="X30" s="197" t="n">
        <v>1</v>
      </c>
      <c r="Y30" s="197" t="n">
        <v>1</v>
      </c>
      <c r="Z30" s="197" t="n">
        <v>1</v>
      </c>
      <c r="AA30" s="197" t="n">
        <v>1</v>
      </c>
      <c r="AB30" s="197" t="n">
        <v>1</v>
      </c>
      <c r="AC30" s="197" t="n">
        <v>1</v>
      </c>
    </row>
    <row r="31" ht="15" customHeight="1" s="160">
      <c r="A31" s="176" t="n"/>
      <c r="B31" s="177" t="inlineStr">
        <is>
          <t xml:space="preserve">  M2: Pre-Production — Penetration %</t>
        </is>
      </c>
      <c r="C31" s="178" t="inlineStr">
        <is>
          <t>%</t>
        </is>
      </c>
      <c r="D31" s="216" t="n"/>
      <c r="E31" s="201" t="n">
        <v>0</v>
      </c>
      <c r="F31" s="201" t="n">
        <v>0</v>
      </c>
      <c r="G31" s="201" t="n">
        <v>0</v>
      </c>
      <c r="H31" s="202">
        <f>1_Assumptions!$F$100</f>
        <v/>
      </c>
      <c r="I31" s="202">
        <f>MIN(1,H31+IFERROR(MIN(5_Headcount!I63*1_Assumptions!$F$83*1_Assumptions!$F$82*1/1,H27*(1-H31)*1_Assumptions!$F$95*1)/MAX(I27,1),0))</f>
        <v/>
      </c>
      <c r="J31" s="202">
        <f>MIN(1,I31+IFERROR(MIN(5_Headcount!J63*1_Assumptions!$F$83*1_Assumptions!$F$82*1/1,I27*(1-I31)*1_Assumptions!$F$95*1)/MAX(J27,1),0))</f>
        <v/>
      </c>
      <c r="K31" s="202">
        <f>MIN(1,J31+IFERROR(MIN(5_Headcount!K63*1_Assumptions!$F$83*1_Assumptions!$F$82*1/2,J27*(1-J31)*1_Assumptions!$F$95*1)/MAX(K27,1),0))</f>
        <v/>
      </c>
      <c r="L31" s="202">
        <f>MIN(1,K31+IFERROR(MIN(5_Headcount!L63*1_Assumptions!$F$83*1_Assumptions!$F$82*1/2,K27*(1-K31)*1_Assumptions!$F$95*1)/MAX(L27,1),0))</f>
        <v/>
      </c>
      <c r="M31" s="202">
        <f>MIN(1,L31+IFERROR(MIN(5_Headcount!M63*1_Assumptions!$F$83*1_Assumptions!$F$82*1/2,L27*(1-L31)*1_Assumptions!$F$95*1)/MAX(M27,1),0))</f>
        <v/>
      </c>
      <c r="N31" s="202">
        <f>MIN(1,M31+IFERROR(MIN(5_Headcount!N63*1_Assumptions!$F$83*1_Assumptions!$F$82*3/3,M27*(1-M31)*1_Assumptions!$F$95*3)/MAX(N27,1),0))</f>
        <v/>
      </c>
      <c r="O31" s="202">
        <f>MIN(1,N31+IFERROR(MIN(5_Headcount!O63*1_Assumptions!$F$83*1_Assumptions!$F$82*3/4,N27*(1-N31)*1_Assumptions!$F$95*3)/MAX(O27,1),0))</f>
        <v/>
      </c>
      <c r="P31" s="202">
        <f>MIN(1,O31+IFERROR(MIN(5_Headcount!P63*1_Assumptions!$F$83*1_Assumptions!$F$82*3/4,O27*(1-O31)*1_Assumptions!$F$95*3)/MAX(P27,1),0))</f>
        <v/>
      </c>
      <c r="Q31" s="202">
        <f>MIN(1,P31+IFERROR(MIN(5_Headcount!Q63*1_Assumptions!$F$83*1_Assumptions!$F$82*3/4,P27*(1-P31)*1_Assumptions!$F$95*3)/MAX(Q27,1),0))</f>
        <v/>
      </c>
      <c r="R31" s="202">
        <f>MIN(1,Q31+IFERROR(MIN(5_Headcount!R63*1_Assumptions!$F$83*1_Assumptions!$F$82*3/4,Q27*(1-Q31)*1_Assumptions!$F$95*3)/MAX(R27,1),0))</f>
        <v/>
      </c>
      <c r="S31" s="202">
        <f>MIN(1,R31+IFERROR(MIN(5_Headcount!S63*1_Assumptions!$F$83*1_Assumptions!$F$82*3/4,R27*(1-R31)*1_Assumptions!$F$95*3)/MAX(S27,1),0))</f>
        <v/>
      </c>
      <c r="T31" s="202">
        <f>MIN(1,S31+IFERROR(MIN(5_Headcount!T63*1_Assumptions!$F$83*1_Assumptions!$F$82*3/4,S27*(1-S31)*1_Assumptions!$F$95*3)/MAX(T27,1),0))</f>
        <v/>
      </c>
      <c r="U31" s="202">
        <f>MIN(1,T31+IFERROR(MIN(5_Headcount!U63*1_Assumptions!$F$83*1_Assumptions!$F$82*3/4,T27*(1-T31)*1_Assumptions!$F$95*3)/MAX(U27,1),0))</f>
        <v/>
      </c>
      <c r="V31" s="202">
        <f>MIN(1,U31+IFERROR(MIN(5_Headcount!V63*1_Assumptions!$F$83*1_Assumptions!$F$82*3/4,U27*(1-U31)*1_Assumptions!$F$95*3)/MAX(V27,1),0))</f>
        <v/>
      </c>
      <c r="W31" s="202">
        <f>MIN(1,V31+IFERROR(MIN(5_Headcount!W63*1_Assumptions!$F$83*1_Assumptions!$F$82*3/4,V27*(1-V31)*1_Assumptions!$F$95*3)/MAX(W27,1),0))</f>
        <v/>
      </c>
      <c r="X31" s="202">
        <f>MIN(1,W31+IFERROR(MIN(5_Headcount!X63*1_Assumptions!$F$83*1_Assumptions!$F$82*3/4,W27*(1-W31)*1_Assumptions!$F$95*3)/MAX(X27,1),0))</f>
        <v/>
      </c>
      <c r="Y31" s="202">
        <f>MIN(1,X31+IFERROR(MIN(5_Headcount!Y63*1_Assumptions!$F$83*1_Assumptions!$F$82*3/4,X27*(1-X31)*1_Assumptions!$F$95*3)/MAX(Y27,1),0))</f>
        <v/>
      </c>
      <c r="Z31" s="202">
        <f>MIN(1,Y31+IFERROR(MIN(5_Headcount!Z63*1_Assumptions!$F$83*1_Assumptions!$F$82*3/4,Y27*(1-Y31)*1_Assumptions!$F$95*3)/MAX(Z27,1),0))</f>
        <v/>
      </c>
      <c r="AA31" s="202">
        <f>MIN(1,Z31+IFERROR(MIN(5_Headcount!AA63*1_Assumptions!$F$83*1_Assumptions!$F$82*3/4,Z27*(1-Z31)*1_Assumptions!$F$95*3)/MAX(AA27,1),0))</f>
        <v/>
      </c>
      <c r="AB31" s="202">
        <f>MIN(1,AA31+IFERROR(MIN(5_Headcount!AB63*1_Assumptions!$F$83*1_Assumptions!$F$82*3/4,AA27*(1-AA31)*1_Assumptions!$F$95*3)/MAX(AB27,1),0))</f>
        <v/>
      </c>
      <c r="AC31" s="202">
        <f>MIN(1,AB31+IFERROR(MIN(5_Headcount!AC63*1_Assumptions!$F$83*1_Assumptions!$F$82*3/4,AB27*(1-AB31)*1_Assumptions!$F$95*3)/MAX(AC27,1),0))</f>
        <v/>
      </c>
    </row>
    <row r="32" ht="15" customHeight="1" s="160">
      <c r="A32" s="181" t="n"/>
      <c r="B32" s="182" t="inlineStr">
        <is>
          <t xml:space="preserve">  M3: Visual Internal — Penetration %</t>
        </is>
      </c>
      <c r="C32" s="183" t="inlineStr">
        <is>
          <t>%</t>
        </is>
      </c>
      <c r="D32" s="215" t="n"/>
      <c r="E32" s="197" t="n">
        <v>0</v>
      </c>
      <c r="F32" s="197" t="n">
        <v>0</v>
      </c>
      <c r="G32" s="197" t="n">
        <v>0</v>
      </c>
      <c r="H32" s="197" t="n">
        <v>0</v>
      </c>
      <c r="I32" s="197" t="n">
        <v>0</v>
      </c>
      <c r="J32" s="197" t="n">
        <v>0</v>
      </c>
      <c r="K32" s="198">
        <f>1_Assumptions!$F$101</f>
        <v/>
      </c>
      <c r="L32" s="198">
        <f>MIN(1,K32+IFERROR(MIN(5_Headcount!L63*1_Assumptions!$F$83*1_Assumptions!$F$82*1/2,K27*(1-K32)*1_Assumptions!$F$96*1)/MAX(L27,1),0))</f>
        <v/>
      </c>
      <c r="M32" s="198">
        <f>MIN(1,L32+IFERROR(MIN(5_Headcount!M63*1_Assumptions!$F$83*1_Assumptions!$F$82*1/2,L27*(1-L32)*1_Assumptions!$F$96*1)/MAX(M27,1),0))</f>
        <v/>
      </c>
      <c r="N32" s="198">
        <f>MIN(1,M32+IFERROR(MIN(5_Headcount!N63*1_Assumptions!$F$83*1_Assumptions!$F$82*3/3,M27*(1-M32)*1_Assumptions!$F$96*3)/MAX(N27,1),0))</f>
        <v/>
      </c>
      <c r="O32" s="198">
        <f>MIN(1,N32+IFERROR(MIN(5_Headcount!O63*1_Assumptions!$F$83*1_Assumptions!$F$82*3/4,N27*(1-N32)*1_Assumptions!$F$96*3)/MAX(O27,1),0))</f>
        <v/>
      </c>
      <c r="P32" s="198">
        <f>MIN(1,O32+IFERROR(MIN(5_Headcount!P63*1_Assumptions!$F$83*1_Assumptions!$F$82*3/4,O27*(1-O32)*1_Assumptions!$F$96*3)/MAX(P27,1),0))</f>
        <v/>
      </c>
      <c r="Q32" s="198">
        <f>MIN(1,P32+IFERROR(MIN(5_Headcount!Q63*1_Assumptions!$F$83*1_Assumptions!$F$82*3/4,P27*(1-P32)*1_Assumptions!$F$96*3)/MAX(Q27,1),0))</f>
        <v/>
      </c>
      <c r="R32" s="198">
        <f>MIN(1,Q32+IFERROR(MIN(5_Headcount!R63*1_Assumptions!$F$83*1_Assumptions!$F$82*3/4,Q27*(1-Q32)*1_Assumptions!$F$96*3)/MAX(R27,1),0))</f>
        <v/>
      </c>
      <c r="S32" s="198">
        <f>MIN(1,R32+IFERROR(MIN(5_Headcount!S63*1_Assumptions!$F$83*1_Assumptions!$F$82*3/4,R27*(1-R32)*1_Assumptions!$F$96*3)/MAX(S27,1),0))</f>
        <v/>
      </c>
      <c r="T32" s="198">
        <f>MIN(1,S32+IFERROR(MIN(5_Headcount!T63*1_Assumptions!$F$83*1_Assumptions!$F$82*3/4,S27*(1-S32)*1_Assumptions!$F$96*3)/MAX(T27,1),0))</f>
        <v/>
      </c>
      <c r="U32" s="198">
        <f>MIN(1,T32+IFERROR(MIN(5_Headcount!U63*1_Assumptions!$F$83*1_Assumptions!$F$82*3/4,T27*(1-T32)*1_Assumptions!$F$96*3)/MAX(U27,1),0))</f>
        <v/>
      </c>
      <c r="V32" s="198">
        <f>MIN(1,U32+IFERROR(MIN(5_Headcount!V63*1_Assumptions!$F$83*1_Assumptions!$F$82*3/4,U27*(1-U32)*1_Assumptions!$F$96*3)/MAX(V27,1),0))</f>
        <v/>
      </c>
      <c r="W32" s="198">
        <f>MIN(1,V32+IFERROR(MIN(5_Headcount!W63*1_Assumptions!$F$83*1_Assumptions!$F$82*3/4,V27*(1-V32)*1_Assumptions!$F$96*3)/MAX(W27,1),0))</f>
        <v/>
      </c>
      <c r="X32" s="198">
        <f>MIN(1,W32+IFERROR(MIN(5_Headcount!X63*1_Assumptions!$F$83*1_Assumptions!$F$82*3/4,W27*(1-W32)*1_Assumptions!$F$96*3)/MAX(X27,1),0))</f>
        <v/>
      </c>
      <c r="Y32" s="198">
        <f>MIN(1,X32+IFERROR(MIN(5_Headcount!Y63*1_Assumptions!$F$83*1_Assumptions!$F$82*3/4,X27*(1-X32)*1_Assumptions!$F$96*3)/MAX(Y27,1),0))</f>
        <v/>
      </c>
      <c r="Z32" s="198">
        <f>MIN(1,Y32+IFERROR(MIN(5_Headcount!Z63*1_Assumptions!$F$83*1_Assumptions!$F$82*3/4,Y27*(1-Y32)*1_Assumptions!$F$96*3)/MAX(Z27,1),0))</f>
        <v/>
      </c>
      <c r="AA32" s="198">
        <f>MIN(1,Z32+IFERROR(MIN(5_Headcount!AA63*1_Assumptions!$F$83*1_Assumptions!$F$82*3/4,Z27*(1-Z32)*1_Assumptions!$F$96*3)/MAX(AA27,1),0))</f>
        <v/>
      </c>
      <c r="AB32" s="198">
        <f>MIN(1,AA32+IFERROR(MIN(5_Headcount!AB63*1_Assumptions!$F$83*1_Assumptions!$F$82*3/4,AA27*(1-AA32)*1_Assumptions!$F$96*3)/MAX(AB27,1),0))</f>
        <v/>
      </c>
      <c r="AC32" s="198">
        <f>MIN(1,AB32+IFERROR(MIN(5_Headcount!AC63*1_Assumptions!$F$83*1_Assumptions!$F$82*3/4,AB27*(1-AB32)*1_Assumptions!$F$96*3)/MAX(AC27,1),0))</f>
        <v/>
      </c>
    </row>
    <row r="33" ht="15" customHeight="1" s="160">
      <c r="A33" s="176" t="n"/>
      <c r="B33" s="177" t="inlineStr">
        <is>
          <t xml:space="preserve">  M4: Trend Analysis — Penetration %</t>
        </is>
      </c>
      <c r="C33" s="178" t="inlineStr">
        <is>
          <t>%</t>
        </is>
      </c>
      <c r="D33" s="216" t="n"/>
      <c r="E33" s="201" t="n">
        <v>0</v>
      </c>
      <c r="F33" s="201" t="n">
        <v>0</v>
      </c>
      <c r="G33" s="201" t="n">
        <v>0</v>
      </c>
      <c r="H33" s="201" t="n">
        <v>0</v>
      </c>
      <c r="I33" s="201" t="n">
        <v>0</v>
      </c>
      <c r="J33" s="201" t="n">
        <v>0</v>
      </c>
      <c r="K33" s="201" t="n">
        <v>0</v>
      </c>
      <c r="L33" s="201" t="n">
        <v>0</v>
      </c>
      <c r="M33" s="201" t="n">
        <v>0</v>
      </c>
      <c r="N33" s="202">
        <f>1_Assumptions!$F$102</f>
        <v/>
      </c>
      <c r="O33" s="202">
        <f>MIN(1,N33+IFERROR(MIN(5_Headcount!O63*1_Assumptions!$F$83*1_Assumptions!$F$82*3/4,N27*(1-N33)*1_Assumptions!$F$97*3)/MAX(O27,1),0))</f>
        <v/>
      </c>
      <c r="P33" s="202">
        <f>MIN(1,O33+IFERROR(MIN(5_Headcount!P63*1_Assumptions!$F$83*1_Assumptions!$F$82*3/4,O27*(1-O33)*1_Assumptions!$F$97*3)/MAX(P27,1),0))</f>
        <v/>
      </c>
      <c r="Q33" s="202">
        <f>MIN(1,P33+IFERROR(MIN(5_Headcount!Q63*1_Assumptions!$F$83*1_Assumptions!$F$82*3/4,P27*(1-P33)*1_Assumptions!$F$97*3)/MAX(Q27,1),0))</f>
        <v/>
      </c>
      <c r="R33" s="202">
        <f>MIN(1,Q33+IFERROR(MIN(5_Headcount!R63*1_Assumptions!$F$83*1_Assumptions!$F$82*3/4,Q27*(1-Q33)*1_Assumptions!$F$97*3)/MAX(R27,1),0))</f>
        <v/>
      </c>
      <c r="S33" s="202">
        <f>MIN(1,R33+IFERROR(MIN(5_Headcount!S63*1_Assumptions!$F$83*1_Assumptions!$F$82*3/4,R27*(1-R33)*1_Assumptions!$F$97*3)/MAX(S27,1),0))</f>
        <v/>
      </c>
      <c r="T33" s="202">
        <f>MIN(1,S33+IFERROR(MIN(5_Headcount!T63*1_Assumptions!$F$83*1_Assumptions!$F$82*3/4,S27*(1-S33)*1_Assumptions!$F$97*3)/MAX(T27,1),0))</f>
        <v/>
      </c>
      <c r="U33" s="202">
        <f>MIN(1,T33+IFERROR(MIN(5_Headcount!U63*1_Assumptions!$F$83*1_Assumptions!$F$82*3/4,T27*(1-T33)*1_Assumptions!$F$97*3)/MAX(U27,1),0))</f>
        <v/>
      </c>
      <c r="V33" s="202">
        <f>MIN(1,U33+IFERROR(MIN(5_Headcount!V63*1_Assumptions!$F$83*1_Assumptions!$F$82*3/4,U27*(1-U33)*1_Assumptions!$F$97*3)/MAX(V27,1),0))</f>
        <v/>
      </c>
      <c r="W33" s="202">
        <f>MIN(1,V33+IFERROR(MIN(5_Headcount!W63*1_Assumptions!$F$83*1_Assumptions!$F$82*3/4,V27*(1-V33)*1_Assumptions!$F$97*3)/MAX(W27,1),0))</f>
        <v/>
      </c>
      <c r="X33" s="202">
        <f>MIN(1,W33+IFERROR(MIN(5_Headcount!X63*1_Assumptions!$F$83*1_Assumptions!$F$82*3/4,W27*(1-W33)*1_Assumptions!$F$97*3)/MAX(X27,1),0))</f>
        <v/>
      </c>
      <c r="Y33" s="202">
        <f>MIN(1,X33+IFERROR(MIN(5_Headcount!Y63*1_Assumptions!$F$83*1_Assumptions!$F$82*3/4,X27*(1-X33)*1_Assumptions!$F$97*3)/MAX(Y27,1),0))</f>
        <v/>
      </c>
      <c r="Z33" s="202">
        <f>MIN(1,Y33+IFERROR(MIN(5_Headcount!Z63*1_Assumptions!$F$83*1_Assumptions!$F$82*3/4,Y27*(1-Y33)*1_Assumptions!$F$97*3)/MAX(Z27,1),0))</f>
        <v/>
      </c>
      <c r="AA33" s="202">
        <f>MIN(1,Z33+IFERROR(MIN(5_Headcount!AA63*1_Assumptions!$F$83*1_Assumptions!$F$82*3/4,Z27*(1-Z33)*1_Assumptions!$F$97*3)/MAX(AA27,1),0))</f>
        <v/>
      </c>
      <c r="AB33" s="202">
        <f>MIN(1,AA33+IFERROR(MIN(5_Headcount!AB63*1_Assumptions!$F$83*1_Assumptions!$F$82*3/4,AA27*(1-AA33)*1_Assumptions!$F$97*3)/MAX(AB27,1),0))</f>
        <v/>
      </c>
      <c r="AC33" s="202">
        <f>MIN(1,AB33+IFERROR(MIN(5_Headcount!AC63*1_Assumptions!$F$83*1_Assumptions!$F$82*3/4,AB27*(1-AB33)*1_Assumptions!$F$97*3)/MAX(AC27,1),0))</f>
        <v/>
      </c>
    </row>
    <row r="34" ht="15" customHeight="1" s="160">
      <c r="A34" s="181" t="n"/>
      <c r="B34" s="182" t="inlineStr">
        <is>
          <t xml:space="preserve">  M5: Visual External — Penetration %</t>
        </is>
      </c>
      <c r="C34" s="183" t="inlineStr">
        <is>
          <t>%</t>
        </is>
      </c>
      <c r="D34" s="215" t="n"/>
      <c r="E34" s="197" t="n">
        <v>0</v>
      </c>
      <c r="F34" s="197" t="n">
        <v>0</v>
      </c>
      <c r="G34" s="197" t="n">
        <v>0</v>
      </c>
      <c r="H34" s="197" t="n">
        <v>0</v>
      </c>
      <c r="I34" s="197" t="n">
        <v>0</v>
      </c>
      <c r="J34" s="197" t="n">
        <v>0</v>
      </c>
      <c r="K34" s="197" t="n">
        <v>0</v>
      </c>
      <c r="L34" s="197" t="n">
        <v>0</v>
      </c>
      <c r="M34" s="197" t="n">
        <v>0</v>
      </c>
      <c r="N34" s="197" t="n">
        <v>0</v>
      </c>
      <c r="O34" s="198">
        <f>1_Assumptions!$F$103</f>
        <v/>
      </c>
      <c r="P34" s="198">
        <f>MIN(1,O34+IFERROR(MIN(5_Headcount!P63*1_Assumptions!$F$83*1_Assumptions!$F$82*3/4,O27*(1-O34)*1_Assumptions!$F$98*3)/MAX(P27,1),0))</f>
        <v/>
      </c>
      <c r="Q34" s="198">
        <f>MIN(1,P34+IFERROR(MIN(5_Headcount!Q63*1_Assumptions!$F$83*1_Assumptions!$F$82*3/4,P27*(1-P34)*1_Assumptions!$F$98*3)/MAX(Q27,1),0))</f>
        <v/>
      </c>
      <c r="R34" s="198">
        <f>MIN(1,Q34+IFERROR(MIN(5_Headcount!R63*1_Assumptions!$F$83*1_Assumptions!$F$82*3/4,Q27*(1-Q34)*1_Assumptions!$F$98*3)/MAX(R27,1),0))</f>
        <v/>
      </c>
      <c r="S34" s="198">
        <f>MIN(1,R34+IFERROR(MIN(5_Headcount!S63*1_Assumptions!$F$83*1_Assumptions!$F$82*3/4,R27*(1-R34)*1_Assumptions!$F$98*3)/MAX(S27,1),0))</f>
        <v/>
      </c>
      <c r="T34" s="198">
        <f>MIN(1,S34+IFERROR(MIN(5_Headcount!T63*1_Assumptions!$F$83*1_Assumptions!$F$82*3/4,S27*(1-S34)*1_Assumptions!$F$98*3)/MAX(T27,1),0))</f>
        <v/>
      </c>
      <c r="U34" s="198">
        <f>MIN(1,T34+IFERROR(MIN(5_Headcount!U63*1_Assumptions!$F$83*1_Assumptions!$F$82*3/4,T27*(1-T34)*1_Assumptions!$F$98*3)/MAX(U27,1),0))</f>
        <v/>
      </c>
      <c r="V34" s="198">
        <f>MIN(1,U34+IFERROR(MIN(5_Headcount!V63*1_Assumptions!$F$83*1_Assumptions!$F$82*3/4,U27*(1-U34)*1_Assumptions!$F$98*3)/MAX(V27,1),0))</f>
        <v/>
      </c>
      <c r="W34" s="198">
        <f>MIN(1,V34+IFERROR(MIN(5_Headcount!W63*1_Assumptions!$F$83*1_Assumptions!$F$82*3/4,V27*(1-V34)*1_Assumptions!$F$98*3)/MAX(W27,1),0))</f>
        <v/>
      </c>
      <c r="X34" s="198">
        <f>MIN(1,W34+IFERROR(MIN(5_Headcount!X63*1_Assumptions!$F$83*1_Assumptions!$F$82*3/4,W27*(1-W34)*1_Assumptions!$F$98*3)/MAX(X27,1),0))</f>
        <v/>
      </c>
      <c r="Y34" s="198">
        <f>MIN(1,X34+IFERROR(MIN(5_Headcount!Y63*1_Assumptions!$F$83*1_Assumptions!$F$82*3/4,X27*(1-X34)*1_Assumptions!$F$98*3)/MAX(Y27,1),0))</f>
        <v/>
      </c>
      <c r="Z34" s="198">
        <f>MIN(1,Y34+IFERROR(MIN(5_Headcount!Z63*1_Assumptions!$F$83*1_Assumptions!$F$82*3/4,Y27*(1-Y34)*1_Assumptions!$F$98*3)/MAX(Z27,1),0))</f>
        <v/>
      </c>
      <c r="AA34" s="198">
        <f>MIN(1,Z34+IFERROR(MIN(5_Headcount!AA63*1_Assumptions!$F$83*1_Assumptions!$F$82*3/4,Z27*(1-Z34)*1_Assumptions!$F$98*3)/MAX(AA27,1),0))</f>
        <v/>
      </c>
      <c r="AB34" s="198">
        <f>MIN(1,AA34+IFERROR(MIN(5_Headcount!AB63*1_Assumptions!$F$83*1_Assumptions!$F$82*3/4,AA27*(1-AA34)*1_Assumptions!$F$98*3)/MAX(AB27,1),0))</f>
        <v/>
      </c>
      <c r="AC34" s="198">
        <f>MIN(1,AB34+IFERROR(MIN(5_Headcount!AC63*1_Assumptions!$F$83*1_Assumptions!$F$82*3/4,AB27*(1-AB34)*1_Assumptions!$F$98*3)/MAX(AC27,1),0))</f>
        <v/>
      </c>
    </row>
    <row r="36" ht="15" customHeight="1" s="160">
      <c r="A36" s="187" t="n"/>
      <c r="B36" s="188" t="inlineStr">
        <is>
          <t>D. REVENUE — SETUP FEES (one-time per new module adoption)</t>
        </is>
      </c>
      <c r="C36" s="187" t="n"/>
      <c r="D36" s="187" t="n"/>
      <c r="E36" s="187" t="n"/>
      <c r="F36" s="187" t="n"/>
      <c r="G36" s="187" t="n"/>
      <c r="H36" s="187" t="n"/>
      <c r="I36" s="187" t="n"/>
      <c r="J36" s="187" t="n"/>
      <c r="K36" s="187" t="n"/>
      <c r="L36" s="187" t="n"/>
      <c r="M36" s="187" t="n"/>
      <c r="N36" s="187" t="n"/>
      <c r="O36" s="187" t="n"/>
      <c r="P36" s="187" t="n"/>
      <c r="Q36" s="187" t="n"/>
      <c r="R36" s="187" t="n"/>
      <c r="S36" s="187" t="n"/>
      <c r="T36" s="187" t="n"/>
      <c r="U36" s="187" t="n"/>
      <c r="V36" s="187" t="n"/>
      <c r="W36" s="187" t="n"/>
      <c r="X36" s="187" t="n"/>
      <c r="Y36" s="187" t="n"/>
      <c r="Z36" s="187" t="n"/>
      <c r="AA36" s="187" t="n"/>
      <c r="AB36" s="187" t="n"/>
      <c r="AC36" s="187" t="n"/>
    </row>
    <row r="37" ht="15" customHeight="1" s="160">
      <c r="A37" s="181" t="n"/>
      <c r="B37" s="182" t="inlineStr">
        <is>
          <t xml:space="preserve">  Setup Fee Revenue — M1</t>
        </is>
      </c>
      <c r="C37" s="183" t="inlineStr">
        <is>
          <t>€</t>
        </is>
      </c>
      <c r="D37" s="181" t="n"/>
      <c r="E37" s="242">
        <f>E18*1_Assumptions!$F$15+E19*1_Assumptions!$F$22+E20*1_Assumptions!$F$29</f>
        <v/>
      </c>
      <c r="F37" s="242">
        <f>F18*1_Assumptions!$F$15+F19*1_Assumptions!$F$22+F20*1_Assumptions!$F$29</f>
        <v/>
      </c>
      <c r="G37" s="242">
        <f>G18*1_Assumptions!$F$15+G19*1_Assumptions!$F$22+G20*1_Assumptions!$F$29</f>
        <v/>
      </c>
      <c r="H37" s="242">
        <f>H18*1_Assumptions!$F$15+H19*1_Assumptions!$F$22+H20*1_Assumptions!$F$29</f>
        <v/>
      </c>
      <c r="I37" s="242">
        <f>I18*1_Assumptions!$F$15+I19*1_Assumptions!$F$22+I20*1_Assumptions!$F$29</f>
        <v/>
      </c>
      <c r="J37" s="242">
        <f>J18*1_Assumptions!$F$15+J19*1_Assumptions!$F$22+J20*1_Assumptions!$F$29</f>
        <v/>
      </c>
      <c r="K37" s="242">
        <f>K18*1_Assumptions!$F$15+K19*1_Assumptions!$F$22+K20*1_Assumptions!$F$29</f>
        <v/>
      </c>
      <c r="L37" s="242">
        <f>L18*1_Assumptions!$F$15+L19*1_Assumptions!$F$22+L20*1_Assumptions!$F$29</f>
        <v/>
      </c>
      <c r="M37" s="242">
        <f>M18*1_Assumptions!$F$15+M19*1_Assumptions!$F$22+M20*1_Assumptions!$F$29</f>
        <v/>
      </c>
      <c r="N37" s="242">
        <f>N18*1_Assumptions!$F$15+N19*1_Assumptions!$F$22+N20*1_Assumptions!$F$29</f>
        <v/>
      </c>
      <c r="O37" s="242">
        <f>O18*1_Assumptions!$F$15+O19*1_Assumptions!$F$22+O20*1_Assumptions!$F$29</f>
        <v/>
      </c>
      <c r="P37" s="242">
        <f>P18*1_Assumptions!$F$15+P19*1_Assumptions!$F$22+P20*1_Assumptions!$F$29</f>
        <v/>
      </c>
      <c r="Q37" s="242">
        <f>Q18*1_Assumptions!$F$15+Q19*1_Assumptions!$F$22+Q20*1_Assumptions!$F$29</f>
        <v/>
      </c>
      <c r="R37" s="242">
        <f>R18*1_Assumptions!$F$15+R19*1_Assumptions!$F$22+R20*1_Assumptions!$F$29</f>
        <v/>
      </c>
      <c r="S37" s="242">
        <f>S18*1_Assumptions!$F$15+S19*1_Assumptions!$F$22+S20*1_Assumptions!$F$29</f>
        <v/>
      </c>
      <c r="T37" s="242">
        <f>T18*1_Assumptions!$F$15+T19*1_Assumptions!$F$22+T20*1_Assumptions!$F$29</f>
        <v/>
      </c>
      <c r="U37" s="242">
        <f>U18*1_Assumptions!$F$15+U19*1_Assumptions!$F$22+U20*1_Assumptions!$F$29</f>
        <v/>
      </c>
      <c r="V37" s="242">
        <f>V18*1_Assumptions!$F$15+V19*1_Assumptions!$F$22+V20*1_Assumptions!$F$29</f>
        <v/>
      </c>
      <c r="W37" s="242">
        <f>W18*1_Assumptions!$F$15+W19*1_Assumptions!$F$22+W20*1_Assumptions!$F$29</f>
        <v/>
      </c>
      <c r="X37" s="242">
        <f>X18*1_Assumptions!$F$15+X19*1_Assumptions!$F$22+X20*1_Assumptions!$F$29</f>
        <v/>
      </c>
      <c r="Y37" s="242">
        <f>Y18*1_Assumptions!$F$15+Y19*1_Assumptions!$F$22+Y20*1_Assumptions!$F$29</f>
        <v/>
      </c>
      <c r="Z37" s="242">
        <f>Z18*1_Assumptions!$F$15+Z19*1_Assumptions!$F$22+Z20*1_Assumptions!$F$29</f>
        <v/>
      </c>
      <c r="AA37" s="242">
        <f>AA18*1_Assumptions!$F$15+AA19*1_Assumptions!$F$22+AA20*1_Assumptions!$F$29</f>
        <v/>
      </c>
      <c r="AB37" s="242">
        <f>AB18*1_Assumptions!$F$15+AB19*1_Assumptions!$F$22+AB20*1_Assumptions!$F$29</f>
        <v/>
      </c>
      <c r="AC37" s="242">
        <f>AC18*1_Assumptions!$F$15+AC19*1_Assumptions!$F$22+AC20*1_Assumptions!$F$29</f>
        <v/>
      </c>
    </row>
    <row r="38" ht="15" customHeight="1" s="160">
      <c r="A38" s="176" t="n"/>
      <c r="B38" s="177" t="inlineStr">
        <is>
          <t xml:space="preserve">  Setup Fee Revenue — M2</t>
        </is>
      </c>
      <c r="C38" s="178" t="inlineStr">
        <is>
          <t>€</t>
        </is>
      </c>
      <c r="D38" s="176" t="n"/>
      <c r="E38" s="243" t="n">
        <v>0</v>
      </c>
      <c r="F38" s="243" t="n">
        <v>0</v>
      </c>
      <c r="G38" s="243" t="n">
        <v>0</v>
      </c>
      <c r="H38" s="244">
        <f>(H24*1_Assumptions!$F$100+H18*1_Assumptions!$F$100)*1_Assumptions!$F$16+(H25*1_Assumptions!$F$100+H19*1_Assumptions!$F$100)*1_Assumptions!$F$23+(H26*1_Assumptions!$F$100+H20*1_Assumptions!$F$100)*1_Assumptions!$F$30</f>
        <v/>
      </c>
      <c r="I38" s="244">
        <f>(I18*I31+MAX(0,H24*(I31-H31)))*1_Assumptions!$F$16+(I19*I31+MAX(0,H25*(I31-H31)))*1_Assumptions!$F$23+(I20*I31+MAX(0,H26*(I31-H31)))*1_Assumptions!$F$30</f>
        <v/>
      </c>
      <c r="J38" s="244">
        <f>(J18*J31+MAX(0,I24*(J31-I31)))*1_Assumptions!$F$16+(J19*J31+MAX(0,I25*(J31-I31)))*1_Assumptions!$F$23+(J20*J31+MAX(0,I26*(J31-I31)))*1_Assumptions!$F$30</f>
        <v/>
      </c>
      <c r="K38" s="244">
        <f>(K18*K31+MAX(0,J24*(K31-J31)))*1_Assumptions!$F$16+(K19*K31+MAX(0,J25*(K31-J31)))*1_Assumptions!$F$23+(K20*K31+MAX(0,J26*(K31-J31)))*1_Assumptions!$F$30</f>
        <v/>
      </c>
      <c r="L38" s="244">
        <f>(L18*L31+MAX(0,K24*(L31-K31)))*1_Assumptions!$F$16+(L19*L31+MAX(0,K25*(L31-K31)))*1_Assumptions!$F$23+(L20*L31+MAX(0,K26*(L31-K31)))*1_Assumptions!$F$30</f>
        <v/>
      </c>
      <c r="M38" s="244">
        <f>(M18*M31+MAX(0,L24*(M31-L31)))*1_Assumptions!$F$16+(M19*M31+MAX(0,L25*(M31-L31)))*1_Assumptions!$F$23+(M20*M31+MAX(0,L26*(M31-L31)))*1_Assumptions!$F$30</f>
        <v/>
      </c>
      <c r="N38" s="244">
        <f>(N18*N31+MAX(0,M24*(N31-M31)))*1_Assumptions!$F$16+(N19*N31+MAX(0,M25*(N31-M31)))*1_Assumptions!$F$23+(N20*N31+MAX(0,M26*(N31-M31)))*1_Assumptions!$F$30</f>
        <v/>
      </c>
      <c r="O38" s="244">
        <f>(O18*O31+MAX(0,N24*(O31-N31)))*1_Assumptions!$F$16+(O19*O31+MAX(0,N25*(O31-N31)))*1_Assumptions!$F$23+(O20*O31+MAX(0,N26*(O31-N31)))*1_Assumptions!$F$30</f>
        <v/>
      </c>
      <c r="P38" s="244">
        <f>(P18*P31+MAX(0,O24*(P31-O31)))*1_Assumptions!$F$16+(P19*P31+MAX(0,O25*(P31-O31)))*1_Assumptions!$F$23+(P20*P31+MAX(0,O26*(P31-O31)))*1_Assumptions!$F$30</f>
        <v/>
      </c>
      <c r="Q38" s="244">
        <f>(Q18*Q31+MAX(0,P24*(Q31-P31)))*1_Assumptions!$F$16+(Q19*Q31+MAX(0,P25*(Q31-P31)))*1_Assumptions!$F$23+(Q20*Q31+MAX(0,P26*(Q31-P31)))*1_Assumptions!$F$30</f>
        <v/>
      </c>
      <c r="R38" s="244">
        <f>(R18*R31+MAX(0,Q24*(R31-Q31)))*1_Assumptions!$F$16+(R19*R31+MAX(0,Q25*(R31-Q31)))*1_Assumptions!$F$23+(R20*R31+MAX(0,Q26*(R31-Q31)))*1_Assumptions!$F$30</f>
        <v/>
      </c>
      <c r="S38" s="244">
        <f>(S18*S31+MAX(0,R24*(S31-R31)))*1_Assumptions!$F$16+(S19*S31+MAX(0,R25*(S31-R31)))*1_Assumptions!$F$23+(S20*S31+MAX(0,R26*(S31-R31)))*1_Assumptions!$F$30</f>
        <v/>
      </c>
      <c r="T38" s="244">
        <f>(T18*T31+MAX(0,S24*(T31-S31)))*1_Assumptions!$F$16+(T19*T31+MAX(0,S25*(T31-S31)))*1_Assumptions!$F$23+(T20*T31+MAX(0,S26*(T31-S31)))*1_Assumptions!$F$30</f>
        <v/>
      </c>
      <c r="U38" s="244">
        <f>(U18*U31+MAX(0,T24*(U31-T31)))*1_Assumptions!$F$16+(U19*U31+MAX(0,T25*(U31-T31)))*1_Assumptions!$F$23+(U20*U31+MAX(0,T26*(U31-T31)))*1_Assumptions!$F$30</f>
        <v/>
      </c>
      <c r="V38" s="244">
        <f>(V18*V31+MAX(0,U24*(V31-U31)))*1_Assumptions!$F$16+(V19*V31+MAX(0,U25*(V31-U31)))*1_Assumptions!$F$23+(V20*V31+MAX(0,U26*(V31-U31)))*1_Assumptions!$F$30</f>
        <v/>
      </c>
      <c r="W38" s="244">
        <f>(W18*W31+MAX(0,V24*(W31-V31)))*1_Assumptions!$F$16+(W19*W31+MAX(0,V25*(W31-V31)))*1_Assumptions!$F$23+(W20*W31+MAX(0,V26*(W31-V31)))*1_Assumptions!$F$30</f>
        <v/>
      </c>
      <c r="X38" s="244">
        <f>(X18*X31+MAX(0,W24*(X31-W31)))*1_Assumptions!$F$16+(X19*X31+MAX(0,W25*(X31-W31)))*1_Assumptions!$F$23+(X20*X31+MAX(0,W26*(X31-W31)))*1_Assumptions!$F$30</f>
        <v/>
      </c>
      <c r="Y38" s="244">
        <f>(Y18*Y31+MAX(0,X24*(Y31-X31)))*1_Assumptions!$F$16+(Y19*Y31+MAX(0,X25*(Y31-X31)))*1_Assumptions!$F$23+(Y20*Y31+MAX(0,X26*(Y31-X31)))*1_Assumptions!$F$30</f>
        <v/>
      </c>
      <c r="Z38" s="244">
        <f>(Z18*Z31+MAX(0,Y24*(Z31-Y31)))*1_Assumptions!$F$16+(Z19*Z31+MAX(0,Y25*(Z31-Y31)))*1_Assumptions!$F$23+(Z20*Z31+MAX(0,Y26*(Z31-Y31)))*1_Assumptions!$F$30</f>
        <v/>
      </c>
      <c r="AA38" s="244">
        <f>(AA18*AA31+MAX(0,Z24*(AA31-Z31)))*1_Assumptions!$F$16+(AA19*AA31+MAX(0,Z25*(AA31-Z31)))*1_Assumptions!$F$23+(AA20*AA31+MAX(0,Z26*(AA31-Z31)))*1_Assumptions!$F$30</f>
        <v/>
      </c>
      <c r="AB38" s="244">
        <f>(AB18*AB31+MAX(0,AA24*(AB31-AA31)))*1_Assumptions!$F$16+(AB19*AB31+MAX(0,AA25*(AB31-AA31)))*1_Assumptions!$F$23+(AB20*AB31+MAX(0,AA26*(AB31-AA31)))*1_Assumptions!$F$30</f>
        <v/>
      </c>
      <c r="AC38" s="244">
        <f>(AC18*AC31+MAX(0,AB24*(AC31-AB31)))*1_Assumptions!$F$16+(AC19*AC31+MAX(0,AB25*(AC31-AB31)))*1_Assumptions!$F$23+(AC20*AC31+MAX(0,AB26*(AC31-AB31)))*1_Assumptions!$F$30</f>
        <v/>
      </c>
    </row>
    <row r="39" ht="15" customHeight="1" s="160">
      <c r="A39" s="181" t="n"/>
      <c r="B39" s="182" t="inlineStr">
        <is>
          <t xml:space="preserve">  Setup Fee Revenue — M3</t>
        </is>
      </c>
      <c r="C39" s="183" t="inlineStr">
        <is>
          <t>€</t>
        </is>
      </c>
      <c r="D39" s="181" t="n"/>
      <c r="E39" s="245" t="n">
        <v>0</v>
      </c>
      <c r="F39" s="245" t="n">
        <v>0</v>
      </c>
      <c r="G39" s="245" t="n">
        <v>0</v>
      </c>
      <c r="H39" s="245" t="n">
        <v>0</v>
      </c>
      <c r="I39" s="245" t="n">
        <v>0</v>
      </c>
      <c r="J39" s="245" t="n">
        <v>0</v>
      </c>
      <c r="K39" s="242">
        <f>(K24*1_Assumptions!$F$101+K18*1_Assumptions!$F$101)*1_Assumptions!$F$17+(K25*1_Assumptions!$F$101+K19*1_Assumptions!$F$101)*1_Assumptions!$F$24+(K26*1_Assumptions!$F$101+K20*1_Assumptions!$F$101)*1_Assumptions!$F$31</f>
        <v/>
      </c>
      <c r="L39" s="242">
        <f>(L18*L32+MAX(0,K24*(L32-K32)))*1_Assumptions!$F$17+(L19*L32+MAX(0,K25*(L32-K32)))*1_Assumptions!$F$24+(L20*L32+MAX(0,K26*(L32-K32)))*1_Assumptions!$F$31</f>
        <v/>
      </c>
      <c r="M39" s="242">
        <f>(M18*M32+MAX(0,L24*(M32-L32)))*1_Assumptions!$F$17+(M19*M32+MAX(0,L25*(M32-L32)))*1_Assumptions!$F$24+(M20*M32+MAX(0,L26*(M32-L32)))*1_Assumptions!$F$31</f>
        <v/>
      </c>
      <c r="N39" s="242">
        <f>(N18*N32+MAX(0,M24*(N32-M32)))*1_Assumptions!$F$17+(N19*N32+MAX(0,M25*(N32-M32)))*1_Assumptions!$F$24+(N20*N32+MAX(0,M26*(N32-M32)))*1_Assumptions!$F$31</f>
        <v/>
      </c>
      <c r="O39" s="242">
        <f>(O18*O32+MAX(0,N24*(O32-N32)))*1_Assumptions!$F$17+(O19*O32+MAX(0,N25*(O32-N32)))*1_Assumptions!$F$24+(O20*O32+MAX(0,N26*(O32-N32)))*1_Assumptions!$F$31</f>
        <v/>
      </c>
      <c r="P39" s="242">
        <f>(P18*P32+MAX(0,O24*(P32-O32)))*1_Assumptions!$F$17+(P19*P32+MAX(0,O25*(P32-O32)))*1_Assumptions!$F$24+(P20*P32+MAX(0,O26*(P32-O32)))*1_Assumptions!$F$31</f>
        <v/>
      </c>
      <c r="Q39" s="242">
        <f>(Q18*Q32+MAX(0,P24*(Q32-P32)))*1_Assumptions!$F$17+(Q19*Q32+MAX(0,P25*(Q32-P32)))*1_Assumptions!$F$24+(Q20*Q32+MAX(0,P26*(Q32-P32)))*1_Assumptions!$F$31</f>
        <v/>
      </c>
      <c r="R39" s="242">
        <f>(R18*R32+MAX(0,Q24*(R32-Q32)))*1_Assumptions!$F$17+(R19*R32+MAX(0,Q25*(R32-Q32)))*1_Assumptions!$F$24+(R20*R32+MAX(0,Q26*(R32-Q32)))*1_Assumptions!$F$31</f>
        <v/>
      </c>
      <c r="S39" s="242">
        <f>(S18*S32+MAX(0,R24*(S32-R32)))*1_Assumptions!$F$17+(S19*S32+MAX(0,R25*(S32-R32)))*1_Assumptions!$F$24+(S20*S32+MAX(0,R26*(S32-R32)))*1_Assumptions!$F$31</f>
        <v/>
      </c>
      <c r="T39" s="242">
        <f>(T18*T32+MAX(0,S24*(T32-S32)))*1_Assumptions!$F$17+(T19*T32+MAX(0,S25*(T32-S32)))*1_Assumptions!$F$24+(T20*T32+MAX(0,S26*(T32-S32)))*1_Assumptions!$F$31</f>
        <v/>
      </c>
      <c r="U39" s="242">
        <f>(U18*U32+MAX(0,T24*(U32-T32)))*1_Assumptions!$F$17+(U19*U32+MAX(0,T25*(U32-T32)))*1_Assumptions!$F$24+(U20*U32+MAX(0,T26*(U32-T32)))*1_Assumptions!$F$31</f>
        <v/>
      </c>
      <c r="V39" s="242">
        <f>(V18*V32+MAX(0,U24*(V32-U32)))*1_Assumptions!$F$17+(V19*V32+MAX(0,U25*(V32-U32)))*1_Assumptions!$F$24+(V20*V32+MAX(0,U26*(V32-U32)))*1_Assumptions!$F$31</f>
        <v/>
      </c>
      <c r="W39" s="242">
        <f>(W18*W32+MAX(0,V24*(W32-V32)))*1_Assumptions!$F$17+(W19*W32+MAX(0,V25*(W32-V32)))*1_Assumptions!$F$24+(W20*W32+MAX(0,V26*(W32-V32)))*1_Assumptions!$F$31</f>
        <v/>
      </c>
      <c r="X39" s="242">
        <f>(X18*X32+MAX(0,W24*(X32-W32)))*1_Assumptions!$F$17+(X19*X32+MAX(0,W25*(X32-W32)))*1_Assumptions!$F$24+(X20*X32+MAX(0,W26*(X32-W32)))*1_Assumptions!$F$31</f>
        <v/>
      </c>
      <c r="Y39" s="242">
        <f>(Y18*Y32+MAX(0,X24*(Y32-X32)))*1_Assumptions!$F$17+(Y19*Y32+MAX(0,X25*(Y32-X32)))*1_Assumptions!$F$24+(Y20*Y32+MAX(0,X26*(Y32-X32)))*1_Assumptions!$F$31</f>
        <v/>
      </c>
      <c r="Z39" s="242">
        <f>(Z18*Z32+MAX(0,Y24*(Z32-Y32)))*1_Assumptions!$F$17+(Z19*Z32+MAX(0,Y25*(Z32-Y32)))*1_Assumptions!$F$24+(Z20*Z32+MAX(0,Y26*(Z32-Y32)))*1_Assumptions!$F$31</f>
        <v/>
      </c>
      <c r="AA39" s="242">
        <f>(AA18*AA32+MAX(0,Z24*(AA32-Z32)))*1_Assumptions!$F$17+(AA19*AA32+MAX(0,Z25*(AA32-Z32)))*1_Assumptions!$F$24+(AA20*AA32+MAX(0,Z26*(AA32-Z32)))*1_Assumptions!$F$31</f>
        <v/>
      </c>
      <c r="AB39" s="242">
        <f>(AB18*AB32+MAX(0,AA24*(AB32-AA32)))*1_Assumptions!$F$17+(AB19*AB32+MAX(0,AA25*(AB32-AA32)))*1_Assumptions!$F$24+(AB20*AB32+MAX(0,AA26*(AB32-AA32)))*1_Assumptions!$F$31</f>
        <v/>
      </c>
      <c r="AC39" s="242">
        <f>(AC18*AC32+MAX(0,AB24*(AC32-AB32)))*1_Assumptions!$F$17+(AC19*AC32+MAX(0,AB25*(AC32-AB32)))*1_Assumptions!$F$24+(AC20*AC32+MAX(0,AB26*(AC32-AB32)))*1_Assumptions!$F$31</f>
        <v/>
      </c>
    </row>
    <row r="40" ht="15" customHeight="1" s="160">
      <c r="A40" s="176" t="n"/>
      <c r="B40" s="177" t="inlineStr">
        <is>
          <t xml:space="preserve">  Setup Fee Revenue — M4</t>
        </is>
      </c>
      <c r="C40" s="178" t="inlineStr">
        <is>
          <t>€</t>
        </is>
      </c>
      <c r="D40" s="176" t="n"/>
      <c r="E40" s="243" t="n">
        <v>0</v>
      </c>
      <c r="F40" s="243" t="n">
        <v>0</v>
      </c>
      <c r="G40" s="243" t="n">
        <v>0</v>
      </c>
      <c r="H40" s="243" t="n">
        <v>0</v>
      </c>
      <c r="I40" s="243" t="n">
        <v>0</v>
      </c>
      <c r="J40" s="243" t="n">
        <v>0</v>
      </c>
      <c r="K40" s="243" t="n">
        <v>0</v>
      </c>
      <c r="L40" s="243" t="n">
        <v>0</v>
      </c>
      <c r="M40" s="243" t="n">
        <v>0</v>
      </c>
      <c r="N40" s="244">
        <f>(N24*1_Assumptions!$F$102+N18*1_Assumptions!$F$102)*1_Assumptions!$F$18+(N25*1_Assumptions!$F$102+N19*1_Assumptions!$F$102)*1_Assumptions!$F$25+(N26*1_Assumptions!$F$102+N20*1_Assumptions!$F$102)*1_Assumptions!$F$32</f>
        <v/>
      </c>
      <c r="O40" s="244">
        <f>(O18*O33+MAX(0,N24*(O33-N33)))*1_Assumptions!$F$18+(O19*O33+MAX(0,N25*(O33-N33)))*1_Assumptions!$F$25+(O20*O33+MAX(0,N26*(O33-N33)))*1_Assumptions!$F$32</f>
        <v/>
      </c>
      <c r="P40" s="244">
        <f>(P18*P33+MAX(0,O24*(P33-O33)))*1_Assumptions!$F$18+(P19*P33+MAX(0,O25*(P33-O33)))*1_Assumptions!$F$25+(P20*P33+MAX(0,O26*(P33-O33)))*1_Assumptions!$F$32</f>
        <v/>
      </c>
      <c r="Q40" s="244">
        <f>(Q18*Q33+MAX(0,P24*(Q33-P33)))*1_Assumptions!$F$18+(Q19*Q33+MAX(0,P25*(Q33-P33)))*1_Assumptions!$F$25+(Q20*Q33+MAX(0,P26*(Q33-P33)))*1_Assumptions!$F$32</f>
        <v/>
      </c>
      <c r="R40" s="244">
        <f>(R18*R33+MAX(0,Q24*(R33-Q33)))*1_Assumptions!$F$18+(R19*R33+MAX(0,Q25*(R33-Q33)))*1_Assumptions!$F$25+(R20*R33+MAX(0,Q26*(R33-Q33)))*1_Assumptions!$F$32</f>
        <v/>
      </c>
      <c r="S40" s="244">
        <f>(S18*S33+MAX(0,R24*(S33-R33)))*1_Assumptions!$F$18+(S19*S33+MAX(0,R25*(S33-R33)))*1_Assumptions!$F$25+(S20*S33+MAX(0,R26*(S33-R33)))*1_Assumptions!$F$32</f>
        <v/>
      </c>
      <c r="T40" s="244">
        <f>(T18*T33+MAX(0,S24*(T33-S33)))*1_Assumptions!$F$18+(T19*T33+MAX(0,S25*(T33-S33)))*1_Assumptions!$F$25+(T20*T33+MAX(0,S26*(T33-S33)))*1_Assumptions!$F$32</f>
        <v/>
      </c>
      <c r="U40" s="244">
        <f>(U18*U33+MAX(0,T24*(U33-T33)))*1_Assumptions!$F$18+(U19*U33+MAX(0,T25*(U33-T33)))*1_Assumptions!$F$25+(U20*U33+MAX(0,T26*(U33-T33)))*1_Assumptions!$F$32</f>
        <v/>
      </c>
      <c r="V40" s="244">
        <f>(V18*V33+MAX(0,U24*(V33-U33)))*1_Assumptions!$F$18+(V19*V33+MAX(0,U25*(V33-U33)))*1_Assumptions!$F$25+(V20*V33+MAX(0,U26*(V33-U33)))*1_Assumptions!$F$32</f>
        <v/>
      </c>
      <c r="W40" s="244">
        <f>(W18*W33+MAX(0,V24*(W33-V33)))*1_Assumptions!$F$18+(W19*W33+MAX(0,V25*(W33-V33)))*1_Assumptions!$F$25+(W20*W33+MAX(0,V26*(W33-V33)))*1_Assumptions!$F$32</f>
        <v/>
      </c>
      <c r="X40" s="244">
        <f>(X18*X33+MAX(0,W24*(X33-W33)))*1_Assumptions!$F$18+(X19*X33+MAX(0,W25*(X33-W33)))*1_Assumptions!$F$25+(X20*X33+MAX(0,W26*(X33-W33)))*1_Assumptions!$F$32</f>
        <v/>
      </c>
      <c r="Y40" s="244">
        <f>(Y18*Y33+MAX(0,X24*(Y33-X33)))*1_Assumptions!$F$18+(Y19*Y33+MAX(0,X25*(Y33-X33)))*1_Assumptions!$F$25+(Y20*Y33+MAX(0,X26*(Y33-X33)))*1_Assumptions!$F$32</f>
        <v/>
      </c>
      <c r="Z40" s="244">
        <f>(Z18*Z33+MAX(0,Y24*(Z33-Y33)))*1_Assumptions!$F$18+(Z19*Z33+MAX(0,Y25*(Z33-Y33)))*1_Assumptions!$F$25+(Z20*Z33+MAX(0,Y26*(Z33-Y33)))*1_Assumptions!$F$32</f>
        <v/>
      </c>
      <c r="AA40" s="244">
        <f>(AA18*AA33+MAX(0,Z24*(AA33-Z33)))*1_Assumptions!$F$18+(AA19*AA33+MAX(0,Z25*(AA33-Z33)))*1_Assumptions!$F$25+(AA20*AA33+MAX(0,Z26*(AA33-Z33)))*1_Assumptions!$F$32</f>
        <v/>
      </c>
      <c r="AB40" s="244">
        <f>(AB18*AB33+MAX(0,AA24*(AB33-AA33)))*1_Assumptions!$F$18+(AB19*AB33+MAX(0,AA25*(AB33-AA33)))*1_Assumptions!$F$25+(AB20*AB33+MAX(0,AA26*(AB33-AA33)))*1_Assumptions!$F$32</f>
        <v/>
      </c>
      <c r="AC40" s="244">
        <f>(AC18*AC33+MAX(0,AB24*(AC33-AB33)))*1_Assumptions!$F$18+(AC19*AC33+MAX(0,AB25*(AC33-AB33)))*1_Assumptions!$F$25+(AC20*AC33+MAX(0,AB26*(AC33-AB33)))*1_Assumptions!$F$32</f>
        <v/>
      </c>
    </row>
    <row r="41" ht="15" customHeight="1" s="160">
      <c r="A41" s="181" t="n"/>
      <c r="B41" s="182" t="inlineStr">
        <is>
          <t xml:space="preserve">  Setup Fee Revenue — M5</t>
        </is>
      </c>
      <c r="C41" s="183" t="inlineStr">
        <is>
          <t>€</t>
        </is>
      </c>
      <c r="D41" s="181" t="n"/>
      <c r="E41" s="245" t="n">
        <v>0</v>
      </c>
      <c r="F41" s="245" t="n">
        <v>0</v>
      </c>
      <c r="G41" s="245" t="n">
        <v>0</v>
      </c>
      <c r="H41" s="245" t="n">
        <v>0</v>
      </c>
      <c r="I41" s="245" t="n">
        <v>0</v>
      </c>
      <c r="J41" s="245" t="n">
        <v>0</v>
      </c>
      <c r="K41" s="245" t="n">
        <v>0</v>
      </c>
      <c r="L41" s="245" t="n">
        <v>0</v>
      </c>
      <c r="M41" s="245" t="n">
        <v>0</v>
      </c>
      <c r="N41" s="245" t="n">
        <v>0</v>
      </c>
      <c r="O41" s="242">
        <f>(O24*1_Assumptions!$F$103+O18*1_Assumptions!$F$103)*1_Assumptions!$F$19+(O25*1_Assumptions!$F$103+O19*1_Assumptions!$F$103)*1_Assumptions!$F$26+(O26*1_Assumptions!$F$103+O20*1_Assumptions!$F$103)*1_Assumptions!$F$33</f>
        <v/>
      </c>
      <c r="P41" s="242">
        <f>(P18*P34+MAX(0,O24*(P34-O34)))*1_Assumptions!$F$19+(P19*P34+MAX(0,O25*(P34-O34)))*1_Assumptions!$F$26+(P20*P34+MAX(0,O26*(P34-O34)))*1_Assumptions!$F$33</f>
        <v/>
      </c>
      <c r="Q41" s="242">
        <f>(Q18*Q34+MAX(0,P24*(Q34-P34)))*1_Assumptions!$F$19+(Q19*Q34+MAX(0,P25*(Q34-P34)))*1_Assumptions!$F$26+(Q20*Q34+MAX(0,P26*(Q34-P34)))*1_Assumptions!$F$33</f>
        <v/>
      </c>
      <c r="R41" s="242">
        <f>(R18*R34+MAX(0,Q24*(R34-Q34)))*1_Assumptions!$F$19+(R19*R34+MAX(0,Q25*(R34-Q34)))*1_Assumptions!$F$26+(R20*R34+MAX(0,Q26*(R34-Q34)))*1_Assumptions!$F$33</f>
        <v/>
      </c>
      <c r="S41" s="242">
        <f>(S18*S34+MAX(0,R24*(S34-R34)))*1_Assumptions!$F$19+(S19*S34+MAX(0,R25*(S34-R34)))*1_Assumptions!$F$26+(S20*S34+MAX(0,R26*(S34-R34)))*1_Assumptions!$F$33</f>
        <v/>
      </c>
      <c r="T41" s="242">
        <f>(T18*T34+MAX(0,S24*(T34-S34)))*1_Assumptions!$F$19+(T19*T34+MAX(0,S25*(T34-S34)))*1_Assumptions!$F$26+(T20*T34+MAX(0,S26*(T34-S34)))*1_Assumptions!$F$33</f>
        <v/>
      </c>
      <c r="U41" s="242">
        <f>(U18*U34+MAX(0,T24*(U34-T34)))*1_Assumptions!$F$19+(U19*U34+MAX(0,T25*(U34-T34)))*1_Assumptions!$F$26+(U20*U34+MAX(0,T26*(U34-T34)))*1_Assumptions!$F$33</f>
        <v/>
      </c>
      <c r="V41" s="242">
        <f>(V18*V34+MAX(0,U24*(V34-U34)))*1_Assumptions!$F$19+(V19*V34+MAX(0,U25*(V34-U34)))*1_Assumptions!$F$26+(V20*V34+MAX(0,U26*(V34-U34)))*1_Assumptions!$F$33</f>
        <v/>
      </c>
      <c r="W41" s="242">
        <f>(W18*W34+MAX(0,V24*(W34-V34)))*1_Assumptions!$F$19+(W19*W34+MAX(0,V25*(W34-V34)))*1_Assumptions!$F$26+(W20*W34+MAX(0,V26*(W34-V34)))*1_Assumptions!$F$33</f>
        <v/>
      </c>
      <c r="X41" s="242">
        <f>(X18*X34+MAX(0,W24*(X34-W34)))*1_Assumptions!$F$19+(X19*X34+MAX(0,W25*(X34-W34)))*1_Assumptions!$F$26+(X20*X34+MAX(0,W26*(X34-W34)))*1_Assumptions!$F$33</f>
        <v/>
      </c>
      <c r="Y41" s="242">
        <f>(Y18*Y34+MAX(0,X24*(Y34-X34)))*1_Assumptions!$F$19+(Y19*Y34+MAX(0,X25*(Y34-X34)))*1_Assumptions!$F$26+(Y20*Y34+MAX(0,X26*(Y34-X34)))*1_Assumptions!$F$33</f>
        <v/>
      </c>
      <c r="Z41" s="242">
        <f>(Z18*Z34+MAX(0,Y24*(Z34-Y34)))*1_Assumptions!$F$19+(Z19*Z34+MAX(0,Y25*(Z34-Y34)))*1_Assumptions!$F$26+(Z20*Z34+MAX(0,Y26*(Z34-Y34)))*1_Assumptions!$F$33</f>
        <v/>
      </c>
      <c r="AA41" s="242">
        <f>(AA18*AA34+MAX(0,Z24*(AA34-Z34)))*1_Assumptions!$F$19+(AA19*AA34+MAX(0,Z25*(AA34-Z34)))*1_Assumptions!$F$26+(AA20*AA34+MAX(0,Z26*(AA34-Z34)))*1_Assumptions!$F$33</f>
        <v/>
      </c>
      <c r="AB41" s="242">
        <f>(AB18*AB34+MAX(0,AA24*(AB34-AA34)))*1_Assumptions!$F$19+(AB19*AB34+MAX(0,AA25*(AB34-AA34)))*1_Assumptions!$F$26+(AB20*AB34+MAX(0,AA26*(AB34-AA34)))*1_Assumptions!$F$33</f>
        <v/>
      </c>
      <c r="AC41" s="242">
        <f>(AC18*AC34+MAX(0,AB24*(AC34-AB34)))*1_Assumptions!$F$19+(AC19*AC34+MAX(0,AB25*(AC34-AB34)))*1_Assumptions!$F$26+(AC20*AC34+MAX(0,AB26*(AC34-AB34)))*1_Assumptions!$F$33</f>
        <v/>
      </c>
    </row>
    <row r="42" ht="15" customHeight="1" s="160">
      <c r="A42" s="176" t="n"/>
      <c r="B42" s="177" t="inlineStr">
        <is>
          <t>Total Setup Fee Revenue</t>
        </is>
      </c>
      <c r="C42" s="178" t="inlineStr">
        <is>
          <t>€</t>
        </is>
      </c>
      <c r="D42" s="176" t="n"/>
      <c r="E42" s="244">
        <f>E37+E38+E39+E40+E41</f>
        <v/>
      </c>
      <c r="F42" s="244">
        <f>F37+F38+F39+F40+F41</f>
        <v/>
      </c>
      <c r="G42" s="244">
        <f>G37+G38+G39+G40+G41</f>
        <v/>
      </c>
      <c r="H42" s="244">
        <f>H37+H38+H39+H40+H41</f>
        <v/>
      </c>
      <c r="I42" s="244">
        <f>I37+I38+I39+I40+I41</f>
        <v/>
      </c>
      <c r="J42" s="244">
        <f>J37+J38+J39+J40+J41</f>
        <v/>
      </c>
      <c r="K42" s="244">
        <f>K37+K38+K39+K40+K41</f>
        <v/>
      </c>
      <c r="L42" s="244">
        <f>L37+L38+L39+L40+L41</f>
        <v/>
      </c>
      <c r="M42" s="244">
        <f>M37+M38+M39+M40+M41</f>
        <v/>
      </c>
      <c r="N42" s="244">
        <f>N37+N38+N39+N40+N41</f>
        <v/>
      </c>
      <c r="O42" s="244">
        <f>O37+O38+O39+O40+O41</f>
        <v/>
      </c>
      <c r="P42" s="244">
        <f>P37+P38+P39+P40+P41</f>
        <v/>
      </c>
      <c r="Q42" s="244">
        <f>Q37+Q38+Q39+Q40+Q41</f>
        <v/>
      </c>
      <c r="R42" s="244">
        <f>R37+R38+R39+R40+R41</f>
        <v/>
      </c>
      <c r="S42" s="244">
        <f>S37+S38+S39+S40+S41</f>
        <v/>
      </c>
      <c r="T42" s="244">
        <f>T37+T38+T39+T40+T41</f>
        <v/>
      </c>
      <c r="U42" s="244">
        <f>U37+U38+U39+U40+U41</f>
        <v/>
      </c>
      <c r="V42" s="244">
        <f>V37+V38+V39+V40+V41</f>
        <v/>
      </c>
      <c r="W42" s="244">
        <f>W37+W38+W39+W40+W41</f>
        <v/>
      </c>
      <c r="X42" s="244">
        <f>X37+X38+X39+X40+X41</f>
        <v/>
      </c>
      <c r="Y42" s="244">
        <f>Y37+Y38+Y39+Y40+Y41</f>
        <v/>
      </c>
      <c r="Z42" s="244">
        <f>Z37+Z38+Z39+Z40+Z41</f>
        <v/>
      </c>
      <c r="AA42" s="244">
        <f>AA37+AA38+AA39+AA40+AA41</f>
        <v/>
      </c>
      <c r="AB42" s="244">
        <f>AB37+AB38+AB39+AB40+AB41</f>
        <v/>
      </c>
      <c r="AC42" s="244">
        <f>AC37+AC38+AC39+AC40+AC41</f>
        <v/>
      </c>
    </row>
    <row r="44" ht="15" customHeight="1" s="160">
      <c r="A44" s="187" t="n"/>
      <c r="B44" s="188" t="inlineStr">
        <is>
          <t>E. REVENUE — SUBSCRIPTIONS (MRR × months in period, NRR-adjusted)</t>
        </is>
      </c>
      <c r="C44" s="187" t="n"/>
      <c r="D44" s="187" t="n"/>
      <c r="E44" s="187" t="n"/>
      <c r="F44" s="187" t="n"/>
      <c r="G44" s="187" t="n"/>
      <c r="H44" s="187" t="n"/>
      <c r="I44" s="187" t="n"/>
      <c r="J44" s="187" t="n"/>
      <c r="K44" s="187" t="n"/>
      <c r="L44" s="187" t="n"/>
      <c r="M44" s="187" t="n"/>
      <c r="N44" s="187" t="n"/>
      <c r="O44" s="187" t="n"/>
      <c r="P44" s="187" t="n"/>
      <c r="Q44" s="187" t="n"/>
      <c r="R44" s="187" t="n"/>
      <c r="S44" s="187" t="n"/>
      <c r="T44" s="187" t="n"/>
      <c r="U44" s="187" t="n"/>
      <c r="V44" s="187" t="n"/>
      <c r="W44" s="187" t="n"/>
      <c r="X44" s="187" t="n"/>
      <c r="Y44" s="187" t="n"/>
      <c r="Z44" s="187" t="n"/>
      <c r="AA44" s="187" t="n"/>
      <c r="AB44" s="187" t="n"/>
      <c r="AC44" s="187" t="n"/>
    </row>
    <row r="45" ht="15" customHeight="1" s="160">
      <c r="A45" s="181" t="n"/>
      <c r="B45" s="182" t="inlineStr">
        <is>
          <t xml:space="preserve">  Subscription Revenue — M1</t>
        </is>
      </c>
      <c r="C45" s="183" t="inlineStr">
        <is>
          <t>€</t>
        </is>
      </c>
      <c r="D45" s="181" t="n"/>
      <c r="E45" s="242">
        <f>E24*E30*1_Assumptions!$F$37*1*(1-1_Assumptions!$F$135*1_Assumptions!$F$134)+E25*E30*1_Assumptions!$F$44*1*(1-1_Assumptions!$F$135*1_Assumptions!$F$134)+E26*E30*1_Assumptions!$F$51*1*(1-1_Assumptions!$F$135*1_Assumptions!$F$134)</f>
        <v/>
      </c>
      <c r="F45" s="242">
        <f>F24*F30*1_Assumptions!$F$37*1*(1-1_Assumptions!$F$135*1_Assumptions!$F$134)+F25*F30*1_Assumptions!$F$44*1*(1-1_Assumptions!$F$135*1_Assumptions!$F$134)+F26*F30*1_Assumptions!$F$51*1*(1-1_Assumptions!$F$135*1_Assumptions!$F$134)</f>
        <v/>
      </c>
      <c r="G45" s="242">
        <f>G24*G30*1_Assumptions!$F$37*1*(1-1_Assumptions!$F$135*1_Assumptions!$F$134)+G25*G30*1_Assumptions!$F$44*1*(1-1_Assumptions!$F$135*1_Assumptions!$F$134)+G26*G30*1_Assumptions!$F$51*1*(1-1_Assumptions!$F$135*1_Assumptions!$F$134)</f>
        <v/>
      </c>
      <c r="H45" s="242">
        <f>H24*H30*1_Assumptions!$F$37*1*(1-1_Assumptions!$F$135*1_Assumptions!$F$134)+H25*H30*1_Assumptions!$F$44*1*(1-1_Assumptions!$F$135*1_Assumptions!$F$134)+H26*H30*1_Assumptions!$F$51*1*(1-1_Assumptions!$F$135*1_Assumptions!$F$134)</f>
        <v/>
      </c>
      <c r="I45" s="242">
        <f>I24*I30*1_Assumptions!$F$37*1*(1-1_Assumptions!$F$135*1_Assumptions!$F$134)+I25*I30*1_Assumptions!$F$44*1*(1-1_Assumptions!$F$135*1_Assumptions!$F$134)+I26*I30*1_Assumptions!$F$51*1*(1-1_Assumptions!$F$135*1_Assumptions!$F$134)</f>
        <v/>
      </c>
      <c r="J45" s="242">
        <f>J24*J30*1_Assumptions!$F$37*1*(1-1_Assumptions!$F$135*1_Assumptions!$F$134)+J25*J30*1_Assumptions!$F$44*1*(1-1_Assumptions!$F$135*1_Assumptions!$F$134)+J26*J30*1_Assumptions!$F$51*1*(1-1_Assumptions!$F$135*1_Assumptions!$F$134)</f>
        <v/>
      </c>
      <c r="K45" s="242">
        <f>K24*K30*1_Assumptions!$F$37*1*(1-1_Assumptions!$F$135*1_Assumptions!$F$134)+K25*K30*1_Assumptions!$F$44*1*(1-1_Assumptions!$F$135*1_Assumptions!$F$134)+K26*K30*1_Assumptions!$F$51*1*(1-1_Assumptions!$F$135*1_Assumptions!$F$134)</f>
        <v/>
      </c>
      <c r="L45" s="242">
        <f>L24*L30*1_Assumptions!$F$37*1*(1-1_Assumptions!$F$135*1_Assumptions!$F$134)+L25*L30*1_Assumptions!$F$44*1*(1-1_Assumptions!$F$135*1_Assumptions!$F$134)+L26*L30*1_Assumptions!$F$51*1*(1-1_Assumptions!$F$135*1_Assumptions!$F$134)</f>
        <v/>
      </c>
      <c r="M45" s="242">
        <f>M24*M30*1_Assumptions!$F$37*1*(1-1_Assumptions!$F$135*1_Assumptions!$F$134)+M25*M30*1_Assumptions!$F$44*1*(1-1_Assumptions!$F$135*1_Assumptions!$F$134)+M26*M30*1_Assumptions!$F$51*1*(1-1_Assumptions!$F$135*1_Assumptions!$F$134)</f>
        <v/>
      </c>
      <c r="N45" s="242">
        <f>N24*N30*1_Assumptions!$F$37*3*(1-1_Assumptions!$F$135*1_Assumptions!$F$134)+N25*N30*1_Assumptions!$F$44*3*(1-1_Assumptions!$F$135*1_Assumptions!$F$134)+N26*N30*1_Assumptions!$F$51*3*(1-1_Assumptions!$F$135*1_Assumptions!$F$134)</f>
        <v/>
      </c>
      <c r="O45" s="242">
        <f>O24*O30*1_Assumptions!$F$37*3*(1-1_Assumptions!$F$135*1_Assumptions!$F$134)+O25*O30*1_Assumptions!$F$44*3*(1-1_Assumptions!$F$135*1_Assumptions!$F$134)+O26*O30*1_Assumptions!$F$51*3*(1-1_Assumptions!$F$135*1_Assumptions!$F$134)</f>
        <v/>
      </c>
      <c r="P45" s="242">
        <f>P24*P30*1_Assumptions!$F$37*3*(1-1_Assumptions!$F$135*1_Assumptions!$F$134)+P25*P30*1_Assumptions!$F$44*3*(1-1_Assumptions!$F$135*1_Assumptions!$F$134)+P26*P30*1_Assumptions!$F$51*3*(1-1_Assumptions!$F$135*1_Assumptions!$F$134)</f>
        <v/>
      </c>
      <c r="Q45" s="242">
        <f>Q24*Q30*1_Assumptions!$F$37*3*(1-1_Assumptions!$F$135*1_Assumptions!$F$134)+Q25*Q30*1_Assumptions!$F$44*3*(1-1_Assumptions!$F$135*1_Assumptions!$F$134)+Q26*Q30*1_Assumptions!$F$51*3*(1-1_Assumptions!$F$135*1_Assumptions!$F$134)</f>
        <v/>
      </c>
      <c r="R45" s="242">
        <f>R24*R30*1_Assumptions!$F$37*3*(1-1_Assumptions!$F$135*1_Assumptions!$F$134)+R25*R30*1_Assumptions!$F$44*3*(1-1_Assumptions!$F$135*1_Assumptions!$F$134)+R26*R30*1_Assumptions!$F$51*3*(1-1_Assumptions!$F$135*1_Assumptions!$F$134)</f>
        <v/>
      </c>
      <c r="S45" s="242">
        <f>S24*S30*1_Assumptions!$F$37*3*(1-1_Assumptions!$F$135*1_Assumptions!$F$134)+S25*S30*1_Assumptions!$F$44*3*(1-1_Assumptions!$F$135*1_Assumptions!$F$134)+S26*S30*1_Assumptions!$F$51*3*(1-1_Assumptions!$F$135*1_Assumptions!$F$134)</f>
        <v/>
      </c>
      <c r="T45" s="242">
        <f>T24*T30*1_Assumptions!$F$37*3*(1-1_Assumptions!$F$135*1_Assumptions!$F$134)+T25*T30*1_Assumptions!$F$44*3*(1-1_Assumptions!$F$135*1_Assumptions!$F$134)+T26*T30*1_Assumptions!$F$51*3*(1-1_Assumptions!$F$135*1_Assumptions!$F$134)</f>
        <v/>
      </c>
      <c r="U45" s="242">
        <f>U24*U30*1_Assumptions!$F$37*3*(1-1_Assumptions!$F$135*1_Assumptions!$F$134)+U25*U30*1_Assumptions!$F$44*3*(1-1_Assumptions!$F$135*1_Assumptions!$F$134)+U26*U30*1_Assumptions!$F$51*3*(1-1_Assumptions!$F$135*1_Assumptions!$F$134)</f>
        <v/>
      </c>
      <c r="V45" s="242">
        <f>V24*V30*1_Assumptions!$F$37*3*(1-1_Assumptions!$F$135*1_Assumptions!$F$134)+V25*V30*1_Assumptions!$F$44*3*(1-1_Assumptions!$F$135*1_Assumptions!$F$134)+V26*V30*1_Assumptions!$F$51*3*(1-1_Assumptions!$F$135*1_Assumptions!$F$134)</f>
        <v/>
      </c>
      <c r="W45" s="242">
        <f>W24*W30*1_Assumptions!$F$37*3*(1-1_Assumptions!$F$135*1_Assumptions!$F$134)+W25*W30*1_Assumptions!$F$44*3*(1-1_Assumptions!$F$135*1_Assumptions!$F$134)+W26*W30*1_Assumptions!$F$51*3*(1-1_Assumptions!$F$135*1_Assumptions!$F$134)</f>
        <v/>
      </c>
      <c r="X45" s="242">
        <f>X24*X30*1_Assumptions!$F$37*3*(1-1_Assumptions!$F$135*1_Assumptions!$F$134)+X25*X30*1_Assumptions!$F$44*3*(1-1_Assumptions!$F$135*1_Assumptions!$F$134)+X26*X30*1_Assumptions!$F$51*3*(1-1_Assumptions!$F$135*1_Assumptions!$F$134)</f>
        <v/>
      </c>
      <c r="Y45" s="242">
        <f>Y24*Y30*1_Assumptions!$F$37*3*(1-1_Assumptions!$F$135*1_Assumptions!$F$134)+Y25*Y30*1_Assumptions!$F$44*3*(1-1_Assumptions!$F$135*1_Assumptions!$F$134)+Y26*Y30*1_Assumptions!$F$51*3*(1-1_Assumptions!$F$135*1_Assumptions!$F$134)</f>
        <v/>
      </c>
      <c r="Z45" s="242">
        <f>Z24*Z30*1_Assumptions!$F$37*3*(1-1_Assumptions!$F$135*1_Assumptions!$F$134)+Z25*Z30*1_Assumptions!$F$44*3*(1-1_Assumptions!$F$135*1_Assumptions!$F$134)+Z26*Z30*1_Assumptions!$F$51*3*(1-1_Assumptions!$F$135*1_Assumptions!$F$134)</f>
        <v/>
      </c>
      <c r="AA45" s="242">
        <f>AA24*AA30*1_Assumptions!$F$37*3*(1-1_Assumptions!$F$135*1_Assumptions!$F$134)+AA25*AA30*1_Assumptions!$F$44*3*(1-1_Assumptions!$F$135*1_Assumptions!$F$134)+AA26*AA30*1_Assumptions!$F$51*3*(1-1_Assumptions!$F$135*1_Assumptions!$F$134)</f>
        <v/>
      </c>
      <c r="AB45" s="242">
        <f>AB24*AB30*1_Assumptions!$F$37*3*(1-1_Assumptions!$F$135*1_Assumptions!$F$134)+AB25*AB30*1_Assumptions!$F$44*3*(1-1_Assumptions!$F$135*1_Assumptions!$F$134)+AB26*AB30*1_Assumptions!$F$51*3*(1-1_Assumptions!$F$135*1_Assumptions!$F$134)</f>
        <v/>
      </c>
      <c r="AC45" s="242">
        <f>AC24*AC30*1_Assumptions!$F$37*3*(1-1_Assumptions!$F$135*1_Assumptions!$F$134)+AC25*AC30*1_Assumptions!$F$44*3*(1-1_Assumptions!$F$135*1_Assumptions!$F$134)+AC26*AC30*1_Assumptions!$F$51*3*(1-1_Assumptions!$F$135*1_Assumptions!$F$134)</f>
        <v/>
      </c>
    </row>
    <row r="46" ht="15" customHeight="1" s="160">
      <c r="A46" s="176" t="n"/>
      <c r="B46" s="177" t="inlineStr">
        <is>
          <t xml:space="preserve">  Subscription Revenue — M2</t>
        </is>
      </c>
      <c r="C46" s="178" t="inlineStr">
        <is>
          <t>€</t>
        </is>
      </c>
      <c r="D46" s="176" t="n"/>
      <c r="E46" s="243" t="n">
        <v>0</v>
      </c>
      <c r="F46" s="243" t="n">
        <v>0</v>
      </c>
      <c r="G46" s="243" t="n">
        <v>0</v>
      </c>
      <c r="H46" s="244">
        <f>H24*H31*1_Assumptions!$F$38*1*(1-1_Assumptions!$F$135*1_Assumptions!$F$134)+H25*H31*1_Assumptions!$F$45*1*(1-1_Assumptions!$F$135*1_Assumptions!$F$134)+H26*H31*1_Assumptions!$F$52*1*(1-1_Assumptions!$F$135*1_Assumptions!$F$134)</f>
        <v/>
      </c>
      <c r="I46" s="244">
        <f>I24*I31*1_Assumptions!$F$38*1*(1-1_Assumptions!$F$135*1_Assumptions!$F$134)+I25*I31*1_Assumptions!$F$45*1*(1-1_Assumptions!$F$135*1_Assumptions!$F$134)+I26*I31*1_Assumptions!$F$52*1*(1-1_Assumptions!$F$135*1_Assumptions!$F$134)</f>
        <v/>
      </c>
      <c r="J46" s="244">
        <f>J24*J31*1_Assumptions!$F$38*1*(1-1_Assumptions!$F$135*1_Assumptions!$F$134)+J25*J31*1_Assumptions!$F$45*1*(1-1_Assumptions!$F$135*1_Assumptions!$F$134)+J26*J31*1_Assumptions!$F$52*1*(1-1_Assumptions!$F$135*1_Assumptions!$F$134)</f>
        <v/>
      </c>
      <c r="K46" s="244">
        <f>K24*K31*1_Assumptions!$F$38*1*(1-1_Assumptions!$F$135*1_Assumptions!$F$134)+K25*K31*1_Assumptions!$F$45*1*(1-1_Assumptions!$F$135*1_Assumptions!$F$134)+K26*K31*1_Assumptions!$F$52*1*(1-1_Assumptions!$F$135*1_Assumptions!$F$134)</f>
        <v/>
      </c>
      <c r="L46" s="244">
        <f>L24*L31*1_Assumptions!$F$38*1*(1-1_Assumptions!$F$135*1_Assumptions!$F$134)+L25*L31*1_Assumptions!$F$45*1*(1-1_Assumptions!$F$135*1_Assumptions!$F$134)+L26*L31*1_Assumptions!$F$52*1*(1-1_Assumptions!$F$135*1_Assumptions!$F$134)</f>
        <v/>
      </c>
      <c r="M46" s="244">
        <f>M24*M31*1_Assumptions!$F$38*1*(1-1_Assumptions!$F$135*1_Assumptions!$F$134)+M25*M31*1_Assumptions!$F$45*1*(1-1_Assumptions!$F$135*1_Assumptions!$F$134)+M26*M31*1_Assumptions!$F$52*1*(1-1_Assumptions!$F$135*1_Assumptions!$F$134)</f>
        <v/>
      </c>
      <c r="N46" s="244">
        <f>N24*N31*1_Assumptions!$F$38*3*(1-1_Assumptions!$F$135*1_Assumptions!$F$134)+N25*N31*1_Assumptions!$F$45*3*(1-1_Assumptions!$F$135*1_Assumptions!$F$134)+N26*N31*1_Assumptions!$F$52*3*(1-1_Assumptions!$F$135*1_Assumptions!$F$134)</f>
        <v/>
      </c>
      <c r="O46" s="244">
        <f>O24*O31*1_Assumptions!$F$38*3*(1-1_Assumptions!$F$135*1_Assumptions!$F$134)+O25*O31*1_Assumptions!$F$45*3*(1-1_Assumptions!$F$135*1_Assumptions!$F$134)+O26*O31*1_Assumptions!$F$52*3*(1-1_Assumptions!$F$135*1_Assumptions!$F$134)</f>
        <v/>
      </c>
      <c r="P46" s="244">
        <f>P24*P31*1_Assumptions!$F$38*3*(1-1_Assumptions!$F$135*1_Assumptions!$F$134)+P25*P31*1_Assumptions!$F$45*3*(1-1_Assumptions!$F$135*1_Assumptions!$F$134)+P26*P31*1_Assumptions!$F$52*3*(1-1_Assumptions!$F$135*1_Assumptions!$F$134)</f>
        <v/>
      </c>
      <c r="Q46" s="244">
        <f>Q24*Q31*1_Assumptions!$F$38*3*(1-1_Assumptions!$F$135*1_Assumptions!$F$134)+Q25*Q31*1_Assumptions!$F$45*3*(1-1_Assumptions!$F$135*1_Assumptions!$F$134)+Q26*Q31*1_Assumptions!$F$52*3*(1-1_Assumptions!$F$135*1_Assumptions!$F$134)</f>
        <v/>
      </c>
      <c r="R46" s="244">
        <f>R24*R31*1_Assumptions!$F$38*3*(1-1_Assumptions!$F$135*1_Assumptions!$F$134)+R25*R31*1_Assumptions!$F$45*3*(1-1_Assumptions!$F$135*1_Assumptions!$F$134)+R26*R31*1_Assumptions!$F$52*3*(1-1_Assumptions!$F$135*1_Assumptions!$F$134)</f>
        <v/>
      </c>
      <c r="S46" s="244">
        <f>S24*S31*1_Assumptions!$F$38*3*(1-1_Assumptions!$F$135*1_Assumptions!$F$134)+S25*S31*1_Assumptions!$F$45*3*(1-1_Assumptions!$F$135*1_Assumptions!$F$134)+S26*S31*1_Assumptions!$F$52*3*(1-1_Assumptions!$F$135*1_Assumptions!$F$134)</f>
        <v/>
      </c>
      <c r="T46" s="244">
        <f>T24*T31*1_Assumptions!$F$38*3*(1-1_Assumptions!$F$135*1_Assumptions!$F$134)+T25*T31*1_Assumptions!$F$45*3*(1-1_Assumptions!$F$135*1_Assumptions!$F$134)+T26*T31*1_Assumptions!$F$52*3*(1-1_Assumptions!$F$135*1_Assumptions!$F$134)</f>
        <v/>
      </c>
      <c r="U46" s="244">
        <f>U24*U31*1_Assumptions!$F$38*3*(1-1_Assumptions!$F$135*1_Assumptions!$F$134)+U25*U31*1_Assumptions!$F$45*3*(1-1_Assumptions!$F$135*1_Assumptions!$F$134)+U26*U31*1_Assumptions!$F$52*3*(1-1_Assumptions!$F$135*1_Assumptions!$F$134)</f>
        <v/>
      </c>
      <c r="V46" s="244">
        <f>V24*V31*1_Assumptions!$F$38*3*(1-1_Assumptions!$F$135*1_Assumptions!$F$134)+V25*V31*1_Assumptions!$F$45*3*(1-1_Assumptions!$F$135*1_Assumptions!$F$134)+V26*V31*1_Assumptions!$F$52*3*(1-1_Assumptions!$F$135*1_Assumptions!$F$134)</f>
        <v/>
      </c>
      <c r="W46" s="244">
        <f>W24*W31*1_Assumptions!$F$38*3*(1-1_Assumptions!$F$135*1_Assumptions!$F$134)+W25*W31*1_Assumptions!$F$45*3*(1-1_Assumptions!$F$135*1_Assumptions!$F$134)+W26*W31*1_Assumptions!$F$52*3*(1-1_Assumptions!$F$135*1_Assumptions!$F$134)</f>
        <v/>
      </c>
      <c r="X46" s="244">
        <f>X24*X31*1_Assumptions!$F$38*3*(1-1_Assumptions!$F$135*1_Assumptions!$F$134)+X25*X31*1_Assumptions!$F$45*3*(1-1_Assumptions!$F$135*1_Assumptions!$F$134)+X26*X31*1_Assumptions!$F$52*3*(1-1_Assumptions!$F$135*1_Assumptions!$F$134)</f>
        <v/>
      </c>
      <c r="Y46" s="244">
        <f>Y24*Y31*1_Assumptions!$F$38*3*(1-1_Assumptions!$F$135*1_Assumptions!$F$134)+Y25*Y31*1_Assumptions!$F$45*3*(1-1_Assumptions!$F$135*1_Assumptions!$F$134)+Y26*Y31*1_Assumptions!$F$52*3*(1-1_Assumptions!$F$135*1_Assumptions!$F$134)</f>
        <v/>
      </c>
      <c r="Z46" s="244">
        <f>Z24*Z31*1_Assumptions!$F$38*3*(1-1_Assumptions!$F$135*1_Assumptions!$F$134)+Z25*Z31*1_Assumptions!$F$45*3*(1-1_Assumptions!$F$135*1_Assumptions!$F$134)+Z26*Z31*1_Assumptions!$F$52*3*(1-1_Assumptions!$F$135*1_Assumptions!$F$134)</f>
        <v/>
      </c>
      <c r="AA46" s="244">
        <f>AA24*AA31*1_Assumptions!$F$38*3*(1-1_Assumptions!$F$135*1_Assumptions!$F$134)+AA25*AA31*1_Assumptions!$F$45*3*(1-1_Assumptions!$F$135*1_Assumptions!$F$134)+AA26*AA31*1_Assumptions!$F$52*3*(1-1_Assumptions!$F$135*1_Assumptions!$F$134)</f>
        <v/>
      </c>
      <c r="AB46" s="244">
        <f>AB24*AB31*1_Assumptions!$F$38*3*(1-1_Assumptions!$F$135*1_Assumptions!$F$134)+AB25*AB31*1_Assumptions!$F$45*3*(1-1_Assumptions!$F$135*1_Assumptions!$F$134)+AB26*AB31*1_Assumptions!$F$52*3*(1-1_Assumptions!$F$135*1_Assumptions!$F$134)</f>
        <v/>
      </c>
      <c r="AC46" s="244">
        <f>AC24*AC31*1_Assumptions!$F$38*3*(1-1_Assumptions!$F$135*1_Assumptions!$F$134)+AC25*AC31*1_Assumptions!$F$45*3*(1-1_Assumptions!$F$135*1_Assumptions!$F$134)+AC26*AC31*1_Assumptions!$F$52*3*(1-1_Assumptions!$F$135*1_Assumptions!$F$134)</f>
        <v/>
      </c>
    </row>
    <row r="47" ht="15" customHeight="1" s="160">
      <c r="A47" s="181" t="n"/>
      <c r="B47" s="182" t="inlineStr">
        <is>
          <t xml:space="preserve">  Subscription Revenue — M3</t>
        </is>
      </c>
      <c r="C47" s="183" t="inlineStr">
        <is>
          <t>€</t>
        </is>
      </c>
      <c r="D47" s="181" t="n"/>
      <c r="E47" s="245" t="n">
        <v>0</v>
      </c>
      <c r="F47" s="245" t="n">
        <v>0</v>
      </c>
      <c r="G47" s="245" t="n">
        <v>0</v>
      </c>
      <c r="H47" s="245" t="n">
        <v>0</v>
      </c>
      <c r="I47" s="245" t="n">
        <v>0</v>
      </c>
      <c r="J47" s="245" t="n">
        <v>0</v>
      </c>
      <c r="K47" s="242">
        <f>K24*K32*1_Assumptions!$F$39*1*(1-1_Assumptions!$F$135*1_Assumptions!$F$134)+K25*K32*1_Assumptions!$F$46*1*(1-1_Assumptions!$F$135*1_Assumptions!$F$134)+K26*K32*1_Assumptions!$F$53*1*(1-1_Assumptions!$F$135*1_Assumptions!$F$134)</f>
        <v/>
      </c>
      <c r="L47" s="242">
        <f>L24*L32*1_Assumptions!$F$39*1*(1-1_Assumptions!$F$135*1_Assumptions!$F$134)+L25*L32*1_Assumptions!$F$46*1*(1-1_Assumptions!$F$135*1_Assumptions!$F$134)+L26*L32*1_Assumptions!$F$53*1*(1-1_Assumptions!$F$135*1_Assumptions!$F$134)</f>
        <v/>
      </c>
      <c r="M47" s="242">
        <f>M24*M32*1_Assumptions!$F$39*1*(1-1_Assumptions!$F$135*1_Assumptions!$F$134)+M25*M32*1_Assumptions!$F$46*1*(1-1_Assumptions!$F$135*1_Assumptions!$F$134)+M26*M32*1_Assumptions!$F$53*1*(1-1_Assumptions!$F$135*1_Assumptions!$F$134)</f>
        <v/>
      </c>
      <c r="N47" s="242">
        <f>N24*N32*1_Assumptions!$F$39*3*(1-1_Assumptions!$F$135*1_Assumptions!$F$134)+N25*N32*1_Assumptions!$F$46*3*(1-1_Assumptions!$F$135*1_Assumptions!$F$134)+N26*N32*1_Assumptions!$F$53*3*(1-1_Assumptions!$F$135*1_Assumptions!$F$134)</f>
        <v/>
      </c>
      <c r="O47" s="242">
        <f>O24*O32*1_Assumptions!$F$39*3*(1-1_Assumptions!$F$135*1_Assumptions!$F$134)+O25*O32*1_Assumptions!$F$46*3*(1-1_Assumptions!$F$135*1_Assumptions!$F$134)+O26*O32*1_Assumptions!$F$53*3*(1-1_Assumptions!$F$135*1_Assumptions!$F$134)</f>
        <v/>
      </c>
      <c r="P47" s="242">
        <f>P24*P32*1_Assumptions!$F$39*3*(1-1_Assumptions!$F$135*1_Assumptions!$F$134)+P25*P32*1_Assumptions!$F$46*3*(1-1_Assumptions!$F$135*1_Assumptions!$F$134)+P26*P32*1_Assumptions!$F$53*3*(1-1_Assumptions!$F$135*1_Assumptions!$F$134)</f>
        <v/>
      </c>
      <c r="Q47" s="242">
        <f>Q24*Q32*1_Assumptions!$F$39*3*(1-1_Assumptions!$F$135*1_Assumptions!$F$134)+Q25*Q32*1_Assumptions!$F$46*3*(1-1_Assumptions!$F$135*1_Assumptions!$F$134)+Q26*Q32*1_Assumptions!$F$53*3*(1-1_Assumptions!$F$135*1_Assumptions!$F$134)</f>
        <v/>
      </c>
      <c r="R47" s="242">
        <f>R24*R32*1_Assumptions!$F$39*3*(1-1_Assumptions!$F$135*1_Assumptions!$F$134)+R25*R32*1_Assumptions!$F$46*3*(1-1_Assumptions!$F$135*1_Assumptions!$F$134)+R26*R32*1_Assumptions!$F$53*3*(1-1_Assumptions!$F$135*1_Assumptions!$F$134)</f>
        <v/>
      </c>
      <c r="S47" s="242">
        <f>S24*S32*1_Assumptions!$F$39*3*(1-1_Assumptions!$F$135*1_Assumptions!$F$134)+S25*S32*1_Assumptions!$F$46*3*(1-1_Assumptions!$F$135*1_Assumptions!$F$134)+S26*S32*1_Assumptions!$F$53*3*(1-1_Assumptions!$F$135*1_Assumptions!$F$134)</f>
        <v/>
      </c>
      <c r="T47" s="242">
        <f>T24*T32*1_Assumptions!$F$39*3*(1-1_Assumptions!$F$135*1_Assumptions!$F$134)+T25*T32*1_Assumptions!$F$46*3*(1-1_Assumptions!$F$135*1_Assumptions!$F$134)+T26*T32*1_Assumptions!$F$53*3*(1-1_Assumptions!$F$135*1_Assumptions!$F$134)</f>
        <v/>
      </c>
      <c r="U47" s="242">
        <f>U24*U32*1_Assumptions!$F$39*3*(1-1_Assumptions!$F$135*1_Assumptions!$F$134)+U25*U32*1_Assumptions!$F$46*3*(1-1_Assumptions!$F$135*1_Assumptions!$F$134)+U26*U32*1_Assumptions!$F$53*3*(1-1_Assumptions!$F$135*1_Assumptions!$F$134)</f>
        <v/>
      </c>
      <c r="V47" s="242">
        <f>V24*V32*1_Assumptions!$F$39*3*(1-1_Assumptions!$F$135*1_Assumptions!$F$134)+V25*V32*1_Assumptions!$F$46*3*(1-1_Assumptions!$F$135*1_Assumptions!$F$134)+V26*V32*1_Assumptions!$F$53*3*(1-1_Assumptions!$F$135*1_Assumptions!$F$134)</f>
        <v/>
      </c>
      <c r="W47" s="242">
        <f>W24*W32*1_Assumptions!$F$39*3*(1-1_Assumptions!$F$135*1_Assumptions!$F$134)+W25*W32*1_Assumptions!$F$46*3*(1-1_Assumptions!$F$135*1_Assumptions!$F$134)+W26*W32*1_Assumptions!$F$53*3*(1-1_Assumptions!$F$135*1_Assumptions!$F$134)</f>
        <v/>
      </c>
      <c r="X47" s="242">
        <f>X24*X32*1_Assumptions!$F$39*3*(1-1_Assumptions!$F$135*1_Assumptions!$F$134)+X25*X32*1_Assumptions!$F$46*3*(1-1_Assumptions!$F$135*1_Assumptions!$F$134)+X26*X32*1_Assumptions!$F$53*3*(1-1_Assumptions!$F$135*1_Assumptions!$F$134)</f>
        <v/>
      </c>
      <c r="Y47" s="242">
        <f>Y24*Y32*1_Assumptions!$F$39*3*(1-1_Assumptions!$F$135*1_Assumptions!$F$134)+Y25*Y32*1_Assumptions!$F$46*3*(1-1_Assumptions!$F$135*1_Assumptions!$F$134)+Y26*Y32*1_Assumptions!$F$53*3*(1-1_Assumptions!$F$135*1_Assumptions!$F$134)</f>
        <v/>
      </c>
      <c r="Z47" s="242">
        <f>Z24*Z32*1_Assumptions!$F$39*3*(1-1_Assumptions!$F$135*1_Assumptions!$F$134)+Z25*Z32*1_Assumptions!$F$46*3*(1-1_Assumptions!$F$135*1_Assumptions!$F$134)+Z26*Z32*1_Assumptions!$F$53*3*(1-1_Assumptions!$F$135*1_Assumptions!$F$134)</f>
        <v/>
      </c>
      <c r="AA47" s="242">
        <f>AA24*AA32*1_Assumptions!$F$39*3*(1-1_Assumptions!$F$135*1_Assumptions!$F$134)+AA25*AA32*1_Assumptions!$F$46*3*(1-1_Assumptions!$F$135*1_Assumptions!$F$134)+AA26*AA32*1_Assumptions!$F$53*3*(1-1_Assumptions!$F$135*1_Assumptions!$F$134)</f>
        <v/>
      </c>
      <c r="AB47" s="242">
        <f>AB24*AB32*1_Assumptions!$F$39*3*(1-1_Assumptions!$F$135*1_Assumptions!$F$134)+AB25*AB32*1_Assumptions!$F$46*3*(1-1_Assumptions!$F$135*1_Assumptions!$F$134)+AB26*AB32*1_Assumptions!$F$53*3*(1-1_Assumptions!$F$135*1_Assumptions!$F$134)</f>
        <v/>
      </c>
      <c r="AC47" s="242">
        <f>AC24*AC32*1_Assumptions!$F$39*3*(1-1_Assumptions!$F$135*1_Assumptions!$F$134)+AC25*AC32*1_Assumptions!$F$46*3*(1-1_Assumptions!$F$135*1_Assumptions!$F$134)+AC26*AC32*1_Assumptions!$F$53*3*(1-1_Assumptions!$F$135*1_Assumptions!$F$134)</f>
        <v/>
      </c>
    </row>
    <row r="48" ht="15" customHeight="1" s="160">
      <c r="A48" s="176" t="n"/>
      <c r="B48" s="177" t="inlineStr">
        <is>
          <t xml:space="preserve">  Subscription Revenue — M4</t>
        </is>
      </c>
      <c r="C48" s="178" t="inlineStr">
        <is>
          <t>€</t>
        </is>
      </c>
      <c r="D48" s="176" t="n"/>
      <c r="E48" s="243" t="n">
        <v>0</v>
      </c>
      <c r="F48" s="243" t="n">
        <v>0</v>
      </c>
      <c r="G48" s="243" t="n">
        <v>0</v>
      </c>
      <c r="H48" s="243" t="n">
        <v>0</v>
      </c>
      <c r="I48" s="243" t="n">
        <v>0</v>
      </c>
      <c r="J48" s="243" t="n">
        <v>0</v>
      </c>
      <c r="K48" s="243" t="n">
        <v>0</v>
      </c>
      <c r="L48" s="243" t="n">
        <v>0</v>
      </c>
      <c r="M48" s="243" t="n">
        <v>0</v>
      </c>
      <c r="N48" s="244">
        <f>N24*N33*1_Assumptions!$F$40*3*(1-1_Assumptions!$F$135*1_Assumptions!$F$134)+N25*N33*1_Assumptions!$F$47*3*(1-1_Assumptions!$F$135*1_Assumptions!$F$134)+N26*N33*1_Assumptions!$F$54*3*(1-1_Assumptions!$F$135*1_Assumptions!$F$134)</f>
        <v/>
      </c>
      <c r="O48" s="244">
        <f>O24*O33*1_Assumptions!$F$40*3*(1-1_Assumptions!$F$135*1_Assumptions!$F$134)+O25*O33*1_Assumptions!$F$47*3*(1-1_Assumptions!$F$135*1_Assumptions!$F$134)+O26*O33*1_Assumptions!$F$54*3*(1-1_Assumptions!$F$135*1_Assumptions!$F$134)</f>
        <v/>
      </c>
      <c r="P48" s="244">
        <f>P24*P33*1_Assumptions!$F$40*3*(1-1_Assumptions!$F$135*1_Assumptions!$F$134)+P25*P33*1_Assumptions!$F$47*3*(1-1_Assumptions!$F$135*1_Assumptions!$F$134)+P26*P33*1_Assumptions!$F$54*3*(1-1_Assumptions!$F$135*1_Assumptions!$F$134)</f>
        <v/>
      </c>
      <c r="Q48" s="244">
        <f>Q24*Q33*1_Assumptions!$F$40*3*(1-1_Assumptions!$F$135*1_Assumptions!$F$134)+Q25*Q33*1_Assumptions!$F$47*3*(1-1_Assumptions!$F$135*1_Assumptions!$F$134)+Q26*Q33*1_Assumptions!$F$54*3*(1-1_Assumptions!$F$135*1_Assumptions!$F$134)</f>
        <v/>
      </c>
      <c r="R48" s="244">
        <f>R24*R33*1_Assumptions!$F$40*3*(1-1_Assumptions!$F$135*1_Assumptions!$F$134)+R25*R33*1_Assumptions!$F$47*3*(1-1_Assumptions!$F$135*1_Assumptions!$F$134)+R26*R33*1_Assumptions!$F$54*3*(1-1_Assumptions!$F$135*1_Assumptions!$F$134)</f>
        <v/>
      </c>
      <c r="S48" s="244">
        <f>S24*S33*1_Assumptions!$F$40*3*(1-1_Assumptions!$F$135*1_Assumptions!$F$134)+S25*S33*1_Assumptions!$F$47*3*(1-1_Assumptions!$F$135*1_Assumptions!$F$134)+S26*S33*1_Assumptions!$F$54*3*(1-1_Assumptions!$F$135*1_Assumptions!$F$134)</f>
        <v/>
      </c>
      <c r="T48" s="244">
        <f>T24*T33*1_Assumptions!$F$40*3*(1-1_Assumptions!$F$135*1_Assumptions!$F$134)+T25*T33*1_Assumptions!$F$47*3*(1-1_Assumptions!$F$135*1_Assumptions!$F$134)+T26*T33*1_Assumptions!$F$54*3*(1-1_Assumptions!$F$135*1_Assumptions!$F$134)</f>
        <v/>
      </c>
      <c r="U48" s="244">
        <f>U24*U33*1_Assumptions!$F$40*3*(1-1_Assumptions!$F$135*1_Assumptions!$F$134)+U25*U33*1_Assumptions!$F$47*3*(1-1_Assumptions!$F$135*1_Assumptions!$F$134)+U26*U33*1_Assumptions!$F$54*3*(1-1_Assumptions!$F$135*1_Assumptions!$F$134)</f>
        <v/>
      </c>
      <c r="V48" s="244">
        <f>V24*V33*1_Assumptions!$F$40*3*(1-1_Assumptions!$F$135*1_Assumptions!$F$134)+V25*V33*1_Assumptions!$F$47*3*(1-1_Assumptions!$F$135*1_Assumptions!$F$134)+V26*V33*1_Assumptions!$F$54*3*(1-1_Assumptions!$F$135*1_Assumptions!$F$134)</f>
        <v/>
      </c>
      <c r="W48" s="244">
        <f>W24*W33*1_Assumptions!$F$40*3*(1-1_Assumptions!$F$135*1_Assumptions!$F$134)+W25*W33*1_Assumptions!$F$47*3*(1-1_Assumptions!$F$135*1_Assumptions!$F$134)+W26*W33*1_Assumptions!$F$54*3*(1-1_Assumptions!$F$135*1_Assumptions!$F$134)</f>
        <v/>
      </c>
      <c r="X48" s="244">
        <f>X24*X33*1_Assumptions!$F$40*3*(1-1_Assumptions!$F$135*1_Assumptions!$F$134)+X25*X33*1_Assumptions!$F$47*3*(1-1_Assumptions!$F$135*1_Assumptions!$F$134)+X26*X33*1_Assumptions!$F$54*3*(1-1_Assumptions!$F$135*1_Assumptions!$F$134)</f>
        <v/>
      </c>
      <c r="Y48" s="244">
        <f>Y24*Y33*1_Assumptions!$F$40*3*(1-1_Assumptions!$F$135*1_Assumptions!$F$134)+Y25*Y33*1_Assumptions!$F$47*3*(1-1_Assumptions!$F$135*1_Assumptions!$F$134)+Y26*Y33*1_Assumptions!$F$54*3*(1-1_Assumptions!$F$135*1_Assumptions!$F$134)</f>
        <v/>
      </c>
      <c r="Z48" s="244">
        <f>Z24*Z33*1_Assumptions!$F$40*3*(1-1_Assumptions!$F$135*1_Assumptions!$F$134)+Z25*Z33*1_Assumptions!$F$47*3*(1-1_Assumptions!$F$135*1_Assumptions!$F$134)+Z26*Z33*1_Assumptions!$F$54*3*(1-1_Assumptions!$F$135*1_Assumptions!$F$134)</f>
        <v/>
      </c>
      <c r="AA48" s="244">
        <f>AA24*AA33*1_Assumptions!$F$40*3*(1-1_Assumptions!$F$135*1_Assumptions!$F$134)+AA25*AA33*1_Assumptions!$F$47*3*(1-1_Assumptions!$F$135*1_Assumptions!$F$134)+AA26*AA33*1_Assumptions!$F$54*3*(1-1_Assumptions!$F$135*1_Assumptions!$F$134)</f>
        <v/>
      </c>
      <c r="AB48" s="244">
        <f>AB24*AB33*1_Assumptions!$F$40*3*(1-1_Assumptions!$F$135*1_Assumptions!$F$134)+AB25*AB33*1_Assumptions!$F$47*3*(1-1_Assumptions!$F$135*1_Assumptions!$F$134)+AB26*AB33*1_Assumptions!$F$54*3*(1-1_Assumptions!$F$135*1_Assumptions!$F$134)</f>
        <v/>
      </c>
      <c r="AC48" s="244">
        <f>AC24*AC33*1_Assumptions!$F$40*3*(1-1_Assumptions!$F$135*1_Assumptions!$F$134)+AC25*AC33*1_Assumptions!$F$47*3*(1-1_Assumptions!$F$135*1_Assumptions!$F$134)+AC26*AC33*1_Assumptions!$F$54*3*(1-1_Assumptions!$F$135*1_Assumptions!$F$134)</f>
        <v/>
      </c>
    </row>
    <row r="49" ht="15" customHeight="1" s="160">
      <c r="A49" s="181" t="n"/>
      <c r="B49" s="182" t="inlineStr">
        <is>
          <t xml:space="preserve">  Subscription Revenue — M5</t>
        </is>
      </c>
      <c r="C49" s="183" t="inlineStr">
        <is>
          <t>€</t>
        </is>
      </c>
      <c r="D49" s="181" t="n"/>
      <c r="E49" s="245" t="n">
        <v>0</v>
      </c>
      <c r="F49" s="245" t="n">
        <v>0</v>
      </c>
      <c r="G49" s="245" t="n">
        <v>0</v>
      </c>
      <c r="H49" s="245" t="n">
        <v>0</v>
      </c>
      <c r="I49" s="245" t="n">
        <v>0</v>
      </c>
      <c r="J49" s="245" t="n">
        <v>0</v>
      </c>
      <c r="K49" s="245" t="n">
        <v>0</v>
      </c>
      <c r="L49" s="245" t="n">
        <v>0</v>
      </c>
      <c r="M49" s="245" t="n">
        <v>0</v>
      </c>
      <c r="N49" s="245" t="n">
        <v>0</v>
      </c>
      <c r="O49" s="242">
        <f>O24*O34*1_Assumptions!$F$41*3*(1-1_Assumptions!$F$135*1_Assumptions!$F$134)+O25*O34*1_Assumptions!$F$48*3*(1-1_Assumptions!$F$135*1_Assumptions!$F$134)+O26*O34*1_Assumptions!$F$55*3*(1-1_Assumptions!$F$135*1_Assumptions!$F$134)</f>
        <v/>
      </c>
      <c r="P49" s="242">
        <f>P24*P34*1_Assumptions!$F$41*3*(1-1_Assumptions!$F$135*1_Assumptions!$F$134)+P25*P34*1_Assumptions!$F$48*3*(1-1_Assumptions!$F$135*1_Assumptions!$F$134)+P26*P34*1_Assumptions!$F$55*3*(1-1_Assumptions!$F$135*1_Assumptions!$F$134)</f>
        <v/>
      </c>
      <c r="Q49" s="242">
        <f>Q24*Q34*1_Assumptions!$F$41*3*(1-1_Assumptions!$F$135*1_Assumptions!$F$134)+Q25*Q34*1_Assumptions!$F$48*3*(1-1_Assumptions!$F$135*1_Assumptions!$F$134)+Q26*Q34*1_Assumptions!$F$55*3*(1-1_Assumptions!$F$135*1_Assumptions!$F$134)</f>
        <v/>
      </c>
      <c r="R49" s="242">
        <f>R24*R34*1_Assumptions!$F$41*3*(1-1_Assumptions!$F$135*1_Assumptions!$F$134)+R25*R34*1_Assumptions!$F$48*3*(1-1_Assumptions!$F$135*1_Assumptions!$F$134)+R26*R34*1_Assumptions!$F$55*3*(1-1_Assumptions!$F$135*1_Assumptions!$F$134)</f>
        <v/>
      </c>
      <c r="S49" s="242">
        <f>S24*S34*1_Assumptions!$F$41*3*(1-1_Assumptions!$F$135*1_Assumptions!$F$134)+S25*S34*1_Assumptions!$F$48*3*(1-1_Assumptions!$F$135*1_Assumptions!$F$134)+S26*S34*1_Assumptions!$F$55*3*(1-1_Assumptions!$F$135*1_Assumptions!$F$134)</f>
        <v/>
      </c>
      <c r="T49" s="242">
        <f>T24*T34*1_Assumptions!$F$41*3*(1-1_Assumptions!$F$135*1_Assumptions!$F$134)+T25*T34*1_Assumptions!$F$48*3*(1-1_Assumptions!$F$135*1_Assumptions!$F$134)+T26*T34*1_Assumptions!$F$55*3*(1-1_Assumptions!$F$135*1_Assumptions!$F$134)</f>
        <v/>
      </c>
      <c r="U49" s="242">
        <f>U24*U34*1_Assumptions!$F$41*3*(1-1_Assumptions!$F$135*1_Assumptions!$F$134)+U25*U34*1_Assumptions!$F$48*3*(1-1_Assumptions!$F$135*1_Assumptions!$F$134)+U26*U34*1_Assumptions!$F$55*3*(1-1_Assumptions!$F$135*1_Assumptions!$F$134)</f>
        <v/>
      </c>
      <c r="V49" s="242">
        <f>V24*V34*1_Assumptions!$F$41*3*(1-1_Assumptions!$F$135*1_Assumptions!$F$134)+V25*V34*1_Assumptions!$F$48*3*(1-1_Assumptions!$F$135*1_Assumptions!$F$134)+V26*V34*1_Assumptions!$F$55*3*(1-1_Assumptions!$F$135*1_Assumptions!$F$134)</f>
        <v/>
      </c>
      <c r="W49" s="242">
        <f>W24*W34*1_Assumptions!$F$41*3*(1-1_Assumptions!$F$135*1_Assumptions!$F$134)+W25*W34*1_Assumptions!$F$48*3*(1-1_Assumptions!$F$135*1_Assumptions!$F$134)+W26*W34*1_Assumptions!$F$55*3*(1-1_Assumptions!$F$135*1_Assumptions!$F$134)</f>
        <v/>
      </c>
      <c r="X49" s="242">
        <f>X24*X34*1_Assumptions!$F$41*3*(1-1_Assumptions!$F$135*1_Assumptions!$F$134)+X25*X34*1_Assumptions!$F$48*3*(1-1_Assumptions!$F$135*1_Assumptions!$F$134)+X26*X34*1_Assumptions!$F$55*3*(1-1_Assumptions!$F$135*1_Assumptions!$F$134)</f>
        <v/>
      </c>
      <c r="Y49" s="242">
        <f>Y24*Y34*1_Assumptions!$F$41*3*(1-1_Assumptions!$F$135*1_Assumptions!$F$134)+Y25*Y34*1_Assumptions!$F$48*3*(1-1_Assumptions!$F$135*1_Assumptions!$F$134)+Y26*Y34*1_Assumptions!$F$55*3*(1-1_Assumptions!$F$135*1_Assumptions!$F$134)</f>
        <v/>
      </c>
      <c r="Z49" s="242">
        <f>Z24*Z34*1_Assumptions!$F$41*3*(1-1_Assumptions!$F$135*1_Assumptions!$F$134)+Z25*Z34*1_Assumptions!$F$48*3*(1-1_Assumptions!$F$135*1_Assumptions!$F$134)+Z26*Z34*1_Assumptions!$F$55*3*(1-1_Assumptions!$F$135*1_Assumptions!$F$134)</f>
        <v/>
      </c>
      <c r="AA49" s="242">
        <f>AA24*AA34*1_Assumptions!$F$41*3*(1-1_Assumptions!$F$135*1_Assumptions!$F$134)+AA25*AA34*1_Assumptions!$F$48*3*(1-1_Assumptions!$F$135*1_Assumptions!$F$134)+AA26*AA34*1_Assumptions!$F$55*3*(1-1_Assumptions!$F$135*1_Assumptions!$F$134)</f>
        <v/>
      </c>
      <c r="AB49" s="242">
        <f>AB24*AB34*1_Assumptions!$F$41*3*(1-1_Assumptions!$F$135*1_Assumptions!$F$134)+AB25*AB34*1_Assumptions!$F$48*3*(1-1_Assumptions!$F$135*1_Assumptions!$F$134)+AB26*AB34*1_Assumptions!$F$55*3*(1-1_Assumptions!$F$135*1_Assumptions!$F$134)</f>
        <v/>
      </c>
      <c r="AC49" s="242">
        <f>AC24*AC34*1_Assumptions!$F$41*3*(1-1_Assumptions!$F$135*1_Assumptions!$F$134)+AC25*AC34*1_Assumptions!$F$48*3*(1-1_Assumptions!$F$135*1_Assumptions!$F$134)+AC26*AC34*1_Assumptions!$F$55*3*(1-1_Assumptions!$F$135*1_Assumptions!$F$134)</f>
        <v/>
      </c>
    </row>
    <row r="50" ht="15" customHeight="1" s="160">
      <c r="A50" s="176" t="n"/>
      <c r="B50" s="177" t="inlineStr">
        <is>
          <t>Total Subscription Revenue</t>
        </is>
      </c>
      <c r="C50" s="178" t="inlineStr">
        <is>
          <t>€</t>
        </is>
      </c>
      <c r="D50" s="176" t="n"/>
      <c r="E50" s="244">
        <f>E45+E46+E47+E48+E49</f>
        <v/>
      </c>
      <c r="F50" s="244">
        <f>F45+F46+F47+F48+F49</f>
        <v/>
      </c>
      <c r="G50" s="244">
        <f>G45+G46+G47+G48+G49</f>
        <v/>
      </c>
      <c r="H50" s="244">
        <f>H45+H46+H47+H48+H49</f>
        <v/>
      </c>
      <c r="I50" s="244">
        <f>I45+I46+I47+I48+I49</f>
        <v/>
      </c>
      <c r="J50" s="244">
        <f>J45+J46+J47+J48+J49</f>
        <v/>
      </c>
      <c r="K50" s="244">
        <f>K45+K46+K47+K48+K49</f>
        <v/>
      </c>
      <c r="L50" s="244">
        <f>L45+L46+L47+L48+L49</f>
        <v/>
      </c>
      <c r="M50" s="244">
        <f>M45+M46+M47+M48+M49</f>
        <v/>
      </c>
      <c r="N50" s="244">
        <f>N45+N46+N47+N48+N49</f>
        <v/>
      </c>
      <c r="O50" s="244">
        <f>O45+O46+O47+O48+O49</f>
        <v/>
      </c>
      <c r="P50" s="244">
        <f>P45+P46+P47+P48+P49</f>
        <v/>
      </c>
      <c r="Q50" s="244">
        <f>Q45+Q46+Q47+Q48+Q49</f>
        <v/>
      </c>
      <c r="R50" s="244">
        <f>R45+R46+R47+R48+R49</f>
        <v/>
      </c>
      <c r="S50" s="244">
        <f>S45+S46+S47+S48+S49</f>
        <v/>
      </c>
      <c r="T50" s="244">
        <f>T45+T46+T47+T48+T49</f>
        <v/>
      </c>
      <c r="U50" s="244">
        <f>U45+U46+U47+U48+U49</f>
        <v/>
      </c>
      <c r="V50" s="244">
        <f>V45+V46+V47+V48+V49</f>
        <v/>
      </c>
      <c r="W50" s="244">
        <f>W45+W46+W47+W48+W49</f>
        <v/>
      </c>
      <c r="X50" s="244">
        <f>X45+X46+X47+X48+X49</f>
        <v/>
      </c>
      <c r="Y50" s="244">
        <f>Y45+Y46+Y47+Y48+Y49</f>
        <v/>
      </c>
      <c r="Z50" s="244">
        <f>Z45+Z46+Z47+Z48+Z49</f>
        <v/>
      </c>
      <c r="AA50" s="244">
        <f>AA45+AA46+AA47+AA48+AA49</f>
        <v/>
      </c>
      <c r="AB50" s="244">
        <f>AB45+AB46+AB47+AB48+AB49</f>
        <v/>
      </c>
      <c r="AC50" s="244">
        <f>AC45+AC46+AC47+AC48+AC49</f>
        <v/>
      </c>
    </row>
    <row r="52" ht="15" customHeight="1" s="160">
      <c r="A52" s="187" t="n"/>
      <c r="B52" s="188" t="inlineStr">
        <is>
          <t>F. REVENUE — CREDITS (shared pool, increases with module count)</t>
        </is>
      </c>
      <c r="C52" s="187" t="n"/>
      <c r="D52" s="187" t="n"/>
      <c r="E52" s="187" t="n"/>
      <c r="F52" s="187" t="n"/>
      <c r="G52" s="187" t="n"/>
      <c r="H52" s="187" t="n"/>
      <c r="I52" s="187" t="n"/>
      <c r="J52" s="187" t="n"/>
      <c r="K52" s="187" t="n"/>
      <c r="L52" s="187" t="n"/>
      <c r="M52" s="187" t="n"/>
      <c r="N52" s="187" t="n"/>
      <c r="O52" s="187" t="n"/>
      <c r="P52" s="187" t="n"/>
      <c r="Q52" s="187" t="n"/>
      <c r="R52" s="187" t="n"/>
      <c r="S52" s="187" t="n"/>
      <c r="T52" s="187" t="n"/>
      <c r="U52" s="187" t="n"/>
      <c r="V52" s="187" t="n"/>
      <c r="W52" s="187" t="n"/>
      <c r="X52" s="187" t="n"/>
      <c r="Y52" s="187" t="n"/>
      <c r="Z52" s="187" t="n"/>
      <c r="AA52" s="187" t="n"/>
      <c r="AB52" s="187" t="n"/>
      <c r="AC52" s="187" t="n"/>
    </row>
    <row r="53" ht="15" customHeight="1" s="160">
      <c r="A53" s="181" t="n"/>
      <c r="B53" s="182" t="inlineStr">
        <is>
          <t xml:space="preserve">  Credit Revenue — SME</t>
        </is>
      </c>
      <c r="C53" s="183" t="inlineStr">
        <is>
          <t>€</t>
        </is>
      </c>
      <c r="D53" s="181" t="n"/>
      <c r="E53" s="242">
        <f>E24*MIN(1_Assumptions!$F$58*(1+1_Assumptions!$F$64)^(1-1),1_Assumptions!$F$69)*1_Assumptions!$F$61*1*(1+(E31+E32+E33+E34)*1_Assumptions!$F$67)</f>
        <v/>
      </c>
      <c r="F53" s="242">
        <f>F24*MIN(1_Assumptions!$F$58*(1+1_Assumptions!$F$64)^(2-1),1_Assumptions!$F$69)*1_Assumptions!$F$61*1*(1+(F31+F32+F33+F34)*1_Assumptions!$F$67)</f>
        <v/>
      </c>
      <c r="G53" s="242">
        <f>G24*MIN(1_Assumptions!$F$58*(1+1_Assumptions!$F$64)^(3-1),1_Assumptions!$F$69)*1_Assumptions!$F$61*1*(1+(G31+G32+G33+G34)*1_Assumptions!$F$67)</f>
        <v/>
      </c>
      <c r="H53" s="242">
        <f>H24*MIN(1_Assumptions!$F$58*(1+1_Assumptions!$F$64)^(4-1),1_Assumptions!$F$69)*1_Assumptions!$F$61*1*(1+(H31+H32+H33+H34)*1_Assumptions!$F$67)</f>
        <v/>
      </c>
      <c r="I53" s="242">
        <f>I24*MIN(1_Assumptions!$F$58*(1+1_Assumptions!$F$64)^(5-1),1_Assumptions!$F$69)*1_Assumptions!$F$61*1*(1+(I31+I32+I33+I34)*1_Assumptions!$F$67)</f>
        <v/>
      </c>
      <c r="J53" s="242">
        <f>J24*MIN(1_Assumptions!$F$58*(1+1_Assumptions!$F$64)^(6-1),1_Assumptions!$F$69)*1_Assumptions!$F$61*1*(1+(J31+J32+J33+J34)*1_Assumptions!$F$67)</f>
        <v/>
      </c>
      <c r="K53" s="242">
        <f>K24*MIN(1_Assumptions!$F$58*(1+1_Assumptions!$F$64)^(7-1),1_Assumptions!$F$69)*1_Assumptions!$F$61*1*(1+(K31+K32+K33+K34)*1_Assumptions!$F$67)</f>
        <v/>
      </c>
      <c r="L53" s="242">
        <f>L24*MIN(1_Assumptions!$F$58*(1+1_Assumptions!$F$64)^(8-1),1_Assumptions!$F$69)*1_Assumptions!$F$61*1*(1+(L31+L32+L33+L34)*1_Assumptions!$F$67)</f>
        <v/>
      </c>
      <c r="M53" s="242">
        <f>M24*MIN(1_Assumptions!$F$58*(1+1_Assumptions!$F$64)^(9-1),1_Assumptions!$F$69)*1_Assumptions!$F$61*1*(1+(M31+M32+M33+M34)*1_Assumptions!$F$67)</f>
        <v/>
      </c>
      <c r="N53" s="242">
        <f>N24*MIN(1_Assumptions!$F$58*(1+1_Assumptions!$F$64)^(10-1),1_Assumptions!$F$69)*1_Assumptions!$F$61*3*(1+(N31+N32+N33+N34)*1_Assumptions!$F$67)</f>
        <v/>
      </c>
      <c r="O53" s="242">
        <f>O24*MIN(1_Assumptions!$F$58*(1+1_Assumptions!$F$64)^(13-1),1_Assumptions!$F$69)*1_Assumptions!$F$61*3*(1+(O31+O32+O33+O34)*1_Assumptions!$F$67)</f>
        <v/>
      </c>
      <c r="P53" s="242">
        <f>P24*MIN(1_Assumptions!$F$58*(1+1_Assumptions!$F$64)^(16-1),1_Assumptions!$F$69)*1_Assumptions!$F$61*3*(1+(P31+P32+P33+P34)*1_Assumptions!$F$67)</f>
        <v/>
      </c>
      <c r="Q53" s="242">
        <f>Q24*MIN(1_Assumptions!$F$58*(1+1_Assumptions!$F$64)^(19-1),1_Assumptions!$F$69)*1_Assumptions!$F$61*3*(1+(Q31+Q32+Q33+Q34)*1_Assumptions!$F$67)</f>
        <v/>
      </c>
      <c r="R53" s="242">
        <f>R24*MIN(1_Assumptions!$F$58*(1+1_Assumptions!$F$64)^(22-1),1_Assumptions!$F$69)*1_Assumptions!$F$61*3*(1+(R31+R32+R33+R34)*1_Assumptions!$F$67)</f>
        <v/>
      </c>
      <c r="S53" s="242">
        <f>S24*MIN(1_Assumptions!$F$58*(1+1_Assumptions!$F$64)^(25-1),1_Assumptions!$F$69)*1_Assumptions!$F$61*3*(1+(S31+S32+S33+S34)*1_Assumptions!$F$67)</f>
        <v/>
      </c>
      <c r="T53" s="242">
        <f>T24*MIN(1_Assumptions!$F$58*(1+1_Assumptions!$F$64)^(28-1),1_Assumptions!$F$69)*1_Assumptions!$F$61*3*(1+(T31+T32+T33+T34)*1_Assumptions!$F$67)</f>
        <v/>
      </c>
      <c r="U53" s="242">
        <f>U24*MIN(1_Assumptions!$F$58*(1+1_Assumptions!$F$64)^(31-1),1_Assumptions!$F$69)*1_Assumptions!$F$61*3*(1+(U31+U32+U33+U34)*1_Assumptions!$F$67)</f>
        <v/>
      </c>
      <c r="V53" s="242">
        <f>V24*MIN(1_Assumptions!$F$58*(1+1_Assumptions!$F$64)^(34-1),1_Assumptions!$F$69)*1_Assumptions!$F$61*3*(1+(V31+V32+V33+V34)*1_Assumptions!$F$67)</f>
        <v/>
      </c>
      <c r="W53" s="242">
        <f>W24*MIN(1_Assumptions!$F$58*(1+1_Assumptions!$F$64)^(37-1),1_Assumptions!$F$69)*1_Assumptions!$F$61*3*(1+(W31+W32+W33+W34)*1_Assumptions!$F$67)</f>
        <v/>
      </c>
      <c r="X53" s="242">
        <f>X24*MIN(1_Assumptions!$F$58*(1+1_Assumptions!$F$64)^(40-1),1_Assumptions!$F$69)*1_Assumptions!$F$61*3*(1+(X31+X32+X33+X34)*1_Assumptions!$F$67)</f>
        <v/>
      </c>
      <c r="Y53" s="242">
        <f>Y24*MIN(1_Assumptions!$F$58*(1+1_Assumptions!$F$64)^(43-1),1_Assumptions!$F$69)*1_Assumptions!$F$61*3*(1+(Y31+Y32+Y33+Y34)*1_Assumptions!$F$67)</f>
        <v/>
      </c>
      <c r="Z53" s="242">
        <f>Z24*MIN(1_Assumptions!$F$58*(1+1_Assumptions!$F$64)^(46-1),1_Assumptions!$F$69)*1_Assumptions!$F$61*3*(1+(Z31+Z32+Z33+Z34)*1_Assumptions!$F$67)</f>
        <v/>
      </c>
      <c r="AA53" s="242">
        <f>AA24*MIN(1_Assumptions!$F$58*(1+1_Assumptions!$F$64)^(49-1),1_Assumptions!$F$69)*1_Assumptions!$F$61*3*(1+(AA31+AA32+AA33+AA34)*1_Assumptions!$F$67)</f>
        <v/>
      </c>
      <c r="AB53" s="242">
        <f>AB24*MIN(1_Assumptions!$F$58*(1+1_Assumptions!$F$64)^(52-1),1_Assumptions!$F$69)*1_Assumptions!$F$61*3*(1+(AB31+AB32+AB33+AB34)*1_Assumptions!$F$67)</f>
        <v/>
      </c>
      <c r="AC53" s="242">
        <f>AC24*MIN(1_Assumptions!$F$58*(1+1_Assumptions!$F$64)^(55-1),1_Assumptions!$F$69)*1_Assumptions!$F$61*3*(1+(AC31+AC32+AC33+AC34)*1_Assumptions!$F$67)</f>
        <v/>
      </c>
    </row>
    <row r="54" ht="15" customHeight="1" s="160">
      <c r="A54" s="176" t="n"/>
      <c r="B54" s="177" t="inlineStr">
        <is>
          <t xml:space="preserve">  Credit Revenue — Large</t>
        </is>
      </c>
      <c r="C54" s="178" t="inlineStr">
        <is>
          <t>€</t>
        </is>
      </c>
      <c r="D54" s="176" t="n"/>
      <c r="E54" s="244">
        <f>E25*MIN(1_Assumptions!$F$59*(1+1_Assumptions!$F$65)^(1-1),1_Assumptions!$F$70)*1_Assumptions!$F$62*1*(1+(E31+E32+E33+E34)*1_Assumptions!$F$67)</f>
        <v/>
      </c>
      <c r="F54" s="244">
        <f>F25*MIN(1_Assumptions!$F$59*(1+1_Assumptions!$F$65)^(2-1),1_Assumptions!$F$70)*1_Assumptions!$F$62*1*(1+(F31+F32+F33+F34)*1_Assumptions!$F$67)</f>
        <v/>
      </c>
      <c r="G54" s="244">
        <f>G25*MIN(1_Assumptions!$F$59*(1+1_Assumptions!$F$65)^(3-1),1_Assumptions!$F$70)*1_Assumptions!$F$62*1*(1+(G31+G32+G33+G34)*1_Assumptions!$F$67)</f>
        <v/>
      </c>
      <c r="H54" s="244">
        <f>H25*MIN(1_Assumptions!$F$59*(1+1_Assumptions!$F$65)^(4-1),1_Assumptions!$F$70)*1_Assumptions!$F$62*1*(1+(H31+H32+H33+H34)*1_Assumptions!$F$67)</f>
        <v/>
      </c>
      <c r="I54" s="244">
        <f>I25*MIN(1_Assumptions!$F$59*(1+1_Assumptions!$F$65)^(5-1),1_Assumptions!$F$70)*1_Assumptions!$F$62*1*(1+(I31+I32+I33+I34)*1_Assumptions!$F$67)</f>
        <v/>
      </c>
      <c r="J54" s="244">
        <f>J25*MIN(1_Assumptions!$F$59*(1+1_Assumptions!$F$65)^(6-1),1_Assumptions!$F$70)*1_Assumptions!$F$62*1*(1+(J31+J32+J33+J34)*1_Assumptions!$F$67)</f>
        <v/>
      </c>
      <c r="K54" s="244">
        <f>K25*MIN(1_Assumptions!$F$59*(1+1_Assumptions!$F$65)^(7-1),1_Assumptions!$F$70)*1_Assumptions!$F$62*1*(1+(K31+K32+K33+K34)*1_Assumptions!$F$67)</f>
        <v/>
      </c>
      <c r="L54" s="244">
        <f>L25*MIN(1_Assumptions!$F$59*(1+1_Assumptions!$F$65)^(8-1),1_Assumptions!$F$70)*1_Assumptions!$F$62*1*(1+(L31+L32+L33+L34)*1_Assumptions!$F$67)</f>
        <v/>
      </c>
      <c r="M54" s="244">
        <f>M25*MIN(1_Assumptions!$F$59*(1+1_Assumptions!$F$65)^(9-1),1_Assumptions!$F$70)*1_Assumptions!$F$62*1*(1+(M31+M32+M33+M34)*1_Assumptions!$F$67)</f>
        <v/>
      </c>
      <c r="N54" s="244">
        <f>N25*MIN(1_Assumptions!$F$59*(1+1_Assumptions!$F$65)^(10-1),1_Assumptions!$F$70)*1_Assumptions!$F$62*3*(1+(N31+N32+N33+N34)*1_Assumptions!$F$67)</f>
        <v/>
      </c>
      <c r="O54" s="244">
        <f>O25*MIN(1_Assumptions!$F$59*(1+1_Assumptions!$F$65)^(13-1),1_Assumptions!$F$70)*1_Assumptions!$F$62*3*(1+(O31+O32+O33+O34)*1_Assumptions!$F$67)</f>
        <v/>
      </c>
      <c r="P54" s="244">
        <f>P25*MIN(1_Assumptions!$F$59*(1+1_Assumptions!$F$65)^(16-1),1_Assumptions!$F$70)*1_Assumptions!$F$62*3*(1+(P31+P32+P33+P34)*1_Assumptions!$F$67)</f>
        <v/>
      </c>
      <c r="Q54" s="244">
        <f>Q25*MIN(1_Assumptions!$F$59*(1+1_Assumptions!$F$65)^(19-1),1_Assumptions!$F$70)*1_Assumptions!$F$62*3*(1+(Q31+Q32+Q33+Q34)*1_Assumptions!$F$67)</f>
        <v/>
      </c>
      <c r="R54" s="244">
        <f>R25*MIN(1_Assumptions!$F$59*(1+1_Assumptions!$F$65)^(22-1),1_Assumptions!$F$70)*1_Assumptions!$F$62*3*(1+(R31+R32+R33+R34)*1_Assumptions!$F$67)</f>
        <v/>
      </c>
      <c r="S54" s="244">
        <f>S25*MIN(1_Assumptions!$F$59*(1+1_Assumptions!$F$65)^(25-1),1_Assumptions!$F$70)*1_Assumptions!$F$62*3*(1+(S31+S32+S33+S34)*1_Assumptions!$F$67)</f>
        <v/>
      </c>
      <c r="T54" s="244">
        <f>T25*MIN(1_Assumptions!$F$59*(1+1_Assumptions!$F$65)^(28-1),1_Assumptions!$F$70)*1_Assumptions!$F$62*3*(1+(T31+T32+T33+T34)*1_Assumptions!$F$67)</f>
        <v/>
      </c>
      <c r="U54" s="244">
        <f>U25*MIN(1_Assumptions!$F$59*(1+1_Assumptions!$F$65)^(31-1),1_Assumptions!$F$70)*1_Assumptions!$F$62*3*(1+(U31+U32+U33+U34)*1_Assumptions!$F$67)</f>
        <v/>
      </c>
      <c r="V54" s="244">
        <f>V25*MIN(1_Assumptions!$F$59*(1+1_Assumptions!$F$65)^(34-1),1_Assumptions!$F$70)*1_Assumptions!$F$62*3*(1+(V31+V32+V33+V34)*1_Assumptions!$F$67)</f>
        <v/>
      </c>
      <c r="W54" s="244">
        <f>W25*MIN(1_Assumptions!$F$59*(1+1_Assumptions!$F$65)^(37-1),1_Assumptions!$F$70)*1_Assumptions!$F$62*3*(1+(W31+W32+W33+W34)*1_Assumptions!$F$67)</f>
        <v/>
      </c>
      <c r="X54" s="244">
        <f>X25*MIN(1_Assumptions!$F$59*(1+1_Assumptions!$F$65)^(40-1),1_Assumptions!$F$70)*1_Assumptions!$F$62*3*(1+(X31+X32+X33+X34)*1_Assumptions!$F$67)</f>
        <v/>
      </c>
      <c r="Y54" s="244">
        <f>Y25*MIN(1_Assumptions!$F$59*(1+1_Assumptions!$F$65)^(43-1),1_Assumptions!$F$70)*1_Assumptions!$F$62*3*(1+(Y31+Y32+Y33+Y34)*1_Assumptions!$F$67)</f>
        <v/>
      </c>
      <c r="Z54" s="244">
        <f>Z25*MIN(1_Assumptions!$F$59*(1+1_Assumptions!$F$65)^(46-1),1_Assumptions!$F$70)*1_Assumptions!$F$62*3*(1+(Z31+Z32+Z33+Z34)*1_Assumptions!$F$67)</f>
        <v/>
      </c>
      <c r="AA54" s="244">
        <f>AA25*MIN(1_Assumptions!$F$59*(1+1_Assumptions!$F$65)^(49-1),1_Assumptions!$F$70)*1_Assumptions!$F$62*3*(1+(AA31+AA32+AA33+AA34)*1_Assumptions!$F$67)</f>
        <v/>
      </c>
      <c r="AB54" s="244">
        <f>AB25*MIN(1_Assumptions!$F$59*(1+1_Assumptions!$F$65)^(52-1),1_Assumptions!$F$70)*1_Assumptions!$F$62*3*(1+(AB31+AB32+AB33+AB34)*1_Assumptions!$F$67)</f>
        <v/>
      </c>
      <c r="AC54" s="244">
        <f>AC25*MIN(1_Assumptions!$F$59*(1+1_Assumptions!$F$65)^(55-1),1_Assumptions!$F$70)*1_Assumptions!$F$62*3*(1+(AC31+AC32+AC33+AC34)*1_Assumptions!$F$67)</f>
        <v/>
      </c>
    </row>
    <row r="55" ht="15" customHeight="1" s="160">
      <c r="A55" s="181" t="n"/>
      <c r="B55" s="182" t="inlineStr">
        <is>
          <t xml:space="preserve">  Credit Revenue — Enterprise</t>
        </is>
      </c>
      <c r="C55" s="183" t="inlineStr">
        <is>
          <t>€</t>
        </is>
      </c>
      <c r="D55" s="181" t="n"/>
      <c r="E55" s="242">
        <f>E26*MIN(1_Assumptions!$F$60*(1+1_Assumptions!$F$66)^(1-1),1_Assumptions!$F$71)*1_Assumptions!$F$63*1*(1+(E31+E32+E33+E34)*1_Assumptions!$F$67)</f>
        <v/>
      </c>
      <c r="F55" s="242">
        <f>F26*MIN(1_Assumptions!$F$60*(1+1_Assumptions!$F$66)^(2-1),1_Assumptions!$F$71)*1_Assumptions!$F$63*1*(1+(F31+F32+F33+F34)*1_Assumptions!$F$67)</f>
        <v/>
      </c>
      <c r="G55" s="242">
        <f>G26*MIN(1_Assumptions!$F$60*(1+1_Assumptions!$F$66)^(3-1),1_Assumptions!$F$71)*1_Assumptions!$F$63*1*(1+(G31+G32+G33+G34)*1_Assumptions!$F$67)</f>
        <v/>
      </c>
      <c r="H55" s="242">
        <f>H26*MIN(1_Assumptions!$F$60*(1+1_Assumptions!$F$66)^(4-1),1_Assumptions!$F$71)*1_Assumptions!$F$63*1*(1+(H31+H32+H33+H34)*1_Assumptions!$F$67)</f>
        <v/>
      </c>
      <c r="I55" s="242">
        <f>I26*MIN(1_Assumptions!$F$60*(1+1_Assumptions!$F$66)^(5-1),1_Assumptions!$F$71)*1_Assumptions!$F$63*1*(1+(I31+I32+I33+I34)*1_Assumptions!$F$67)</f>
        <v/>
      </c>
      <c r="J55" s="242">
        <f>J26*MIN(1_Assumptions!$F$60*(1+1_Assumptions!$F$66)^(6-1),1_Assumptions!$F$71)*1_Assumptions!$F$63*1*(1+(J31+J32+J33+J34)*1_Assumptions!$F$67)</f>
        <v/>
      </c>
      <c r="K55" s="242">
        <f>K26*MIN(1_Assumptions!$F$60*(1+1_Assumptions!$F$66)^(7-1),1_Assumptions!$F$71)*1_Assumptions!$F$63*1*(1+(K31+K32+K33+K34)*1_Assumptions!$F$67)</f>
        <v/>
      </c>
      <c r="L55" s="242">
        <f>L26*MIN(1_Assumptions!$F$60*(1+1_Assumptions!$F$66)^(8-1),1_Assumptions!$F$71)*1_Assumptions!$F$63*1*(1+(L31+L32+L33+L34)*1_Assumptions!$F$67)</f>
        <v/>
      </c>
      <c r="M55" s="242">
        <f>M26*MIN(1_Assumptions!$F$60*(1+1_Assumptions!$F$66)^(9-1),1_Assumptions!$F$71)*1_Assumptions!$F$63*1*(1+(M31+M32+M33+M34)*1_Assumptions!$F$67)</f>
        <v/>
      </c>
      <c r="N55" s="242">
        <f>N26*MIN(1_Assumptions!$F$60*(1+1_Assumptions!$F$66)^(10-1),1_Assumptions!$F$71)*1_Assumptions!$F$63*3*(1+(N31+N32+N33+N34)*1_Assumptions!$F$67)</f>
        <v/>
      </c>
      <c r="O55" s="242">
        <f>O26*MIN(1_Assumptions!$F$60*(1+1_Assumptions!$F$66)^(13-1),1_Assumptions!$F$71)*1_Assumptions!$F$63*3*(1+(O31+O32+O33+O34)*1_Assumptions!$F$67)</f>
        <v/>
      </c>
      <c r="P55" s="242">
        <f>P26*MIN(1_Assumptions!$F$60*(1+1_Assumptions!$F$66)^(16-1),1_Assumptions!$F$71)*1_Assumptions!$F$63*3*(1+(P31+P32+P33+P34)*1_Assumptions!$F$67)</f>
        <v/>
      </c>
      <c r="Q55" s="242">
        <f>Q26*MIN(1_Assumptions!$F$60*(1+1_Assumptions!$F$66)^(19-1),1_Assumptions!$F$71)*1_Assumptions!$F$63*3*(1+(Q31+Q32+Q33+Q34)*1_Assumptions!$F$67)</f>
        <v/>
      </c>
      <c r="R55" s="242">
        <f>R26*MIN(1_Assumptions!$F$60*(1+1_Assumptions!$F$66)^(22-1),1_Assumptions!$F$71)*1_Assumptions!$F$63*3*(1+(R31+R32+R33+R34)*1_Assumptions!$F$67)</f>
        <v/>
      </c>
      <c r="S55" s="242">
        <f>S26*MIN(1_Assumptions!$F$60*(1+1_Assumptions!$F$66)^(25-1),1_Assumptions!$F$71)*1_Assumptions!$F$63*3*(1+(S31+S32+S33+S34)*1_Assumptions!$F$67)</f>
        <v/>
      </c>
      <c r="T55" s="242">
        <f>T26*MIN(1_Assumptions!$F$60*(1+1_Assumptions!$F$66)^(28-1),1_Assumptions!$F$71)*1_Assumptions!$F$63*3*(1+(T31+T32+T33+T34)*1_Assumptions!$F$67)</f>
        <v/>
      </c>
      <c r="U55" s="242">
        <f>U26*MIN(1_Assumptions!$F$60*(1+1_Assumptions!$F$66)^(31-1),1_Assumptions!$F$71)*1_Assumptions!$F$63*3*(1+(U31+U32+U33+U34)*1_Assumptions!$F$67)</f>
        <v/>
      </c>
      <c r="V55" s="242">
        <f>V26*MIN(1_Assumptions!$F$60*(1+1_Assumptions!$F$66)^(34-1),1_Assumptions!$F$71)*1_Assumptions!$F$63*3*(1+(V31+V32+V33+V34)*1_Assumptions!$F$67)</f>
        <v/>
      </c>
      <c r="W55" s="242">
        <f>W26*MIN(1_Assumptions!$F$60*(1+1_Assumptions!$F$66)^(37-1),1_Assumptions!$F$71)*1_Assumptions!$F$63*3*(1+(W31+W32+W33+W34)*1_Assumptions!$F$67)</f>
        <v/>
      </c>
      <c r="X55" s="242">
        <f>X26*MIN(1_Assumptions!$F$60*(1+1_Assumptions!$F$66)^(40-1),1_Assumptions!$F$71)*1_Assumptions!$F$63*3*(1+(X31+X32+X33+X34)*1_Assumptions!$F$67)</f>
        <v/>
      </c>
      <c r="Y55" s="242">
        <f>Y26*MIN(1_Assumptions!$F$60*(1+1_Assumptions!$F$66)^(43-1),1_Assumptions!$F$71)*1_Assumptions!$F$63*3*(1+(Y31+Y32+Y33+Y34)*1_Assumptions!$F$67)</f>
        <v/>
      </c>
      <c r="Z55" s="242">
        <f>Z26*MIN(1_Assumptions!$F$60*(1+1_Assumptions!$F$66)^(46-1),1_Assumptions!$F$71)*1_Assumptions!$F$63*3*(1+(Z31+Z32+Z33+Z34)*1_Assumptions!$F$67)</f>
        <v/>
      </c>
      <c r="AA55" s="242">
        <f>AA26*MIN(1_Assumptions!$F$60*(1+1_Assumptions!$F$66)^(49-1),1_Assumptions!$F$71)*1_Assumptions!$F$63*3*(1+(AA31+AA32+AA33+AA34)*1_Assumptions!$F$67)</f>
        <v/>
      </c>
      <c r="AB55" s="242">
        <f>AB26*MIN(1_Assumptions!$F$60*(1+1_Assumptions!$F$66)^(52-1),1_Assumptions!$F$71)*1_Assumptions!$F$63*3*(1+(AB31+AB32+AB33+AB34)*1_Assumptions!$F$67)</f>
        <v/>
      </c>
      <c r="AC55" s="242">
        <f>AC26*MIN(1_Assumptions!$F$60*(1+1_Assumptions!$F$66)^(55-1),1_Assumptions!$F$71)*1_Assumptions!$F$63*3*(1+(AC31+AC32+AC33+AC34)*1_Assumptions!$F$67)</f>
        <v/>
      </c>
    </row>
    <row r="56" ht="15" customHeight="1" s="160">
      <c r="A56" s="176" t="n"/>
      <c r="B56" s="177" t="inlineStr">
        <is>
          <t>Total Credit Revenue</t>
        </is>
      </c>
      <c r="C56" s="178" t="inlineStr">
        <is>
          <t>€</t>
        </is>
      </c>
      <c r="D56" s="176" t="n"/>
      <c r="E56" s="244">
        <f>E53+E54+E55</f>
        <v/>
      </c>
      <c r="F56" s="244">
        <f>F53+F54+F55</f>
        <v/>
      </c>
      <c r="G56" s="244">
        <f>G53+G54+G55</f>
        <v/>
      </c>
      <c r="H56" s="244">
        <f>H53+H54+H55</f>
        <v/>
      </c>
      <c r="I56" s="244">
        <f>I53+I54+I55</f>
        <v/>
      </c>
      <c r="J56" s="244">
        <f>J53+J54+J55</f>
        <v/>
      </c>
      <c r="K56" s="244">
        <f>K53+K54+K55</f>
        <v/>
      </c>
      <c r="L56" s="244">
        <f>L53+L54+L55</f>
        <v/>
      </c>
      <c r="M56" s="244">
        <f>M53+M54+M55</f>
        <v/>
      </c>
      <c r="N56" s="244">
        <f>N53+N54+N55</f>
        <v/>
      </c>
      <c r="O56" s="244">
        <f>O53+O54+O55</f>
        <v/>
      </c>
      <c r="P56" s="244">
        <f>P53+P54+P55</f>
        <v/>
      </c>
      <c r="Q56" s="244">
        <f>Q53+Q54+Q55</f>
        <v/>
      </c>
      <c r="R56" s="244">
        <f>R53+R54+R55</f>
        <v/>
      </c>
      <c r="S56" s="244">
        <f>S53+S54+S55</f>
        <v/>
      </c>
      <c r="T56" s="244">
        <f>T53+T54+T55</f>
        <v/>
      </c>
      <c r="U56" s="244">
        <f>U53+U54+U55</f>
        <v/>
      </c>
      <c r="V56" s="244">
        <f>V53+V54+V55</f>
        <v/>
      </c>
      <c r="W56" s="244">
        <f>W53+W54+W55</f>
        <v/>
      </c>
      <c r="X56" s="244">
        <f>X53+X54+X55</f>
        <v/>
      </c>
      <c r="Y56" s="244">
        <f>Y53+Y54+Y55</f>
        <v/>
      </c>
      <c r="Z56" s="244">
        <f>Z53+Z54+Z55</f>
        <v/>
      </c>
      <c r="AA56" s="244">
        <f>AA53+AA54+AA55</f>
        <v/>
      </c>
      <c r="AB56" s="244">
        <f>AB53+AB54+AB55</f>
        <v/>
      </c>
      <c r="AC56" s="244">
        <f>AC53+AC54+AC55</f>
        <v/>
      </c>
    </row>
    <row r="58" ht="15" customHeight="1" s="160">
      <c r="A58" s="187" t="n"/>
      <c r="B58" s="188" t="inlineStr">
        <is>
          <t>G. REVENUE — PROFESSIONAL SERVICES (capped &lt;10% of total)</t>
        </is>
      </c>
      <c r="C58" s="187" t="n"/>
      <c r="D58" s="241" t="n"/>
      <c r="E58" s="241" t="n"/>
      <c r="F58" s="241" t="n"/>
      <c r="G58" s="241" t="n"/>
      <c r="H58" s="241" t="n"/>
      <c r="I58" s="241" t="n"/>
      <c r="J58" s="241" t="n"/>
      <c r="K58" s="241" t="n"/>
      <c r="L58" s="241" t="n"/>
      <c r="M58" s="241" t="n"/>
      <c r="N58" s="241" t="n"/>
      <c r="O58" s="241" t="n"/>
      <c r="P58" s="241" t="n"/>
      <c r="Q58" s="241" t="n"/>
      <c r="R58" s="241" t="n"/>
      <c r="S58" s="241" t="n"/>
      <c r="T58" s="241" t="n"/>
      <c r="U58" s="241" t="n"/>
      <c r="V58" s="241" t="n"/>
      <c r="W58" s="241" t="n"/>
      <c r="X58" s="241" t="n"/>
      <c r="Y58" s="241" t="n"/>
      <c r="Z58" s="241" t="n"/>
      <c r="AA58" s="241" t="n"/>
      <c r="AB58" s="241" t="n"/>
      <c r="AC58" s="241" t="n"/>
    </row>
    <row r="59" ht="15" customHeight="1" s="160">
      <c r="A59" s="181" t="n"/>
      <c r="B59" s="182" t="inlineStr">
        <is>
          <t xml:space="preserve">  PS Revenue — SME</t>
        </is>
      </c>
      <c r="C59" s="183" t="inlineStr">
        <is>
          <t>€</t>
        </is>
      </c>
      <c r="D59" s="181" t="n"/>
      <c r="E59" s="242">
        <f>E24*1_Assumptions!$F$126*1_Assumptions!$F$129*1</f>
        <v/>
      </c>
      <c r="F59" s="242">
        <f>F24*1_Assumptions!$F$126*1_Assumptions!$F$129*1</f>
        <v/>
      </c>
      <c r="G59" s="242">
        <f>G24*1_Assumptions!$F$126*1_Assumptions!$F$129*1</f>
        <v/>
      </c>
      <c r="H59" s="242">
        <f>H24*1_Assumptions!$F$126*1_Assumptions!$F$129*1</f>
        <v/>
      </c>
      <c r="I59" s="242">
        <f>I24*1_Assumptions!$F$126*1_Assumptions!$F$129*1</f>
        <v/>
      </c>
      <c r="J59" s="242">
        <f>J24*1_Assumptions!$F$126*1_Assumptions!$F$129*1</f>
        <v/>
      </c>
      <c r="K59" s="242">
        <f>K24*1_Assumptions!$F$126*1_Assumptions!$F$129*1</f>
        <v/>
      </c>
      <c r="L59" s="242">
        <f>L24*1_Assumptions!$F$126*1_Assumptions!$F$129*1</f>
        <v/>
      </c>
      <c r="M59" s="242">
        <f>M24*1_Assumptions!$F$126*1_Assumptions!$F$129*1</f>
        <v/>
      </c>
      <c r="N59" s="242">
        <f>N24*1_Assumptions!$F$126*1_Assumptions!$F$129*3</f>
        <v/>
      </c>
      <c r="O59" s="242">
        <f>O24*1_Assumptions!$F$126*1_Assumptions!$F$129*3</f>
        <v/>
      </c>
      <c r="P59" s="242">
        <f>P24*1_Assumptions!$F$126*1_Assumptions!$F$129*3</f>
        <v/>
      </c>
      <c r="Q59" s="242">
        <f>Q24*1_Assumptions!$F$126*1_Assumptions!$F$129*3</f>
        <v/>
      </c>
      <c r="R59" s="242">
        <f>R24*1_Assumptions!$F$126*1_Assumptions!$F$129*3</f>
        <v/>
      </c>
      <c r="S59" s="242">
        <f>S24*1_Assumptions!$F$126*1_Assumptions!$F$129*3</f>
        <v/>
      </c>
      <c r="T59" s="242">
        <f>T24*1_Assumptions!$F$126*1_Assumptions!$F$129*3</f>
        <v/>
      </c>
      <c r="U59" s="242">
        <f>U24*1_Assumptions!$F$126*1_Assumptions!$F$129*3</f>
        <v/>
      </c>
      <c r="V59" s="242">
        <f>V24*1_Assumptions!$F$126*1_Assumptions!$F$129*3</f>
        <v/>
      </c>
      <c r="W59" s="242">
        <f>W24*1_Assumptions!$F$126*1_Assumptions!$F$129*3</f>
        <v/>
      </c>
      <c r="X59" s="242">
        <f>X24*1_Assumptions!$F$126*1_Assumptions!$F$129*3</f>
        <v/>
      </c>
      <c r="Y59" s="242">
        <f>Y24*1_Assumptions!$F$126*1_Assumptions!$F$129*3</f>
        <v/>
      </c>
      <c r="Z59" s="242">
        <f>Z24*1_Assumptions!$F$126*1_Assumptions!$F$129*3</f>
        <v/>
      </c>
      <c r="AA59" s="242">
        <f>AA24*1_Assumptions!$F$126*1_Assumptions!$F$129*3</f>
        <v/>
      </c>
      <c r="AB59" s="242">
        <f>AB24*1_Assumptions!$F$126*1_Assumptions!$F$129*3</f>
        <v/>
      </c>
      <c r="AC59" s="242">
        <f>AC24*1_Assumptions!$F$126*1_Assumptions!$F$129*3</f>
        <v/>
      </c>
    </row>
    <row r="60" ht="15" customHeight="1" s="160">
      <c r="A60" s="176" t="n"/>
      <c r="B60" s="177" t="inlineStr">
        <is>
          <t xml:space="preserve">  PS Revenue — Large</t>
        </is>
      </c>
      <c r="C60" s="178" t="inlineStr">
        <is>
          <t>€</t>
        </is>
      </c>
      <c r="D60" s="176" t="n"/>
      <c r="E60" s="244">
        <f>E25*1_Assumptions!$F$127*1_Assumptions!$F$130*1</f>
        <v/>
      </c>
      <c r="F60" s="244">
        <f>F25*1_Assumptions!$F$127*1_Assumptions!$F$130*1</f>
        <v/>
      </c>
      <c r="G60" s="244">
        <f>G25*1_Assumptions!$F$127*1_Assumptions!$F$130*1</f>
        <v/>
      </c>
      <c r="H60" s="244">
        <f>H25*1_Assumptions!$F$127*1_Assumptions!$F$130*1</f>
        <v/>
      </c>
      <c r="I60" s="244">
        <f>I25*1_Assumptions!$F$127*1_Assumptions!$F$130*1</f>
        <v/>
      </c>
      <c r="J60" s="244">
        <f>J25*1_Assumptions!$F$127*1_Assumptions!$F$130*1</f>
        <v/>
      </c>
      <c r="K60" s="244">
        <f>K25*1_Assumptions!$F$127*1_Assumptions!$F$130*1</f>
        <v/>
      </c>
      <c r="L60" s="244">
        <f>L25*1_Assumptions!$F$127*1_Assumptions!$F$130*1</f>
        <v/>
      </c>
      <c r="M60" s="244">
        <f>M25*1_Assumptions!$F$127*1_Assumptions!$F$130*1</f>
        <v/>
      </c>
      <c r="N60" s="244">
        <f>N25*1_Assumptions!$F$127*1_Assumptions!$F$130*3</f>
        <v/>
      </c>
      <c r="O60" s="244">
        <f>O25*1_Assumptions!$F$127*1_Assumptions!$F$130*3</f>
        <v/>
      </c>
      <c r="P60" s="244">
        <f>P25*1_Assumptions!$F$127*1_Assumptions!$F$130*3</f>
        <v/>
      </c>
      <c r="Q60" s="244">
        <f>Q25*1_Assumptions!$F$127*1_Assumptions!$F$130*3</f>
        <v/>
      </c>
      <c r="R60" s="244">
        <f>R25*1_Assumptions!$F$127*1_Assumptions!$F$130*3</f>
        <v/>
      </c>
      <c r="S60" s="244">
        <f>S25*1_Assumptions!$F$127*1_Assumptions!$F$130*3</f>
        <v/>
      </c>
      <c r="T60" s="244">
        <f>T25*1_Assumptions!$F$127*1_Assumptions!$F$130*3</f>
        <v/>
      </c>
      <c r="U60" s="244">
        <f>U25*1_Assumptions!$F$127*1_Assumptions!$F$130*3</f>
        <v/>
      </c>
      <c r="V60" s="244">
        <f>V25*1_Assumptions!$F$127*1_Assumptions!$F$130*3</f>
        <v/>
      </c>
      <c r="W60" s="244">
        <f>W25*1_Assumptions!$F$127*1_Assumptions!$F$130*3</f>
        <v/>
      </c>
      <c r="X60" s="244">
        <f>X25*1_Assumptions!$F$127*1_Assumptions!$F$130*3</f>
        <v/>
      </c>
      <c r="Y60" s="244">
        <f>Y25*1_Assumptions!$F$127*1_Assumptions!$F$130*3</f>
        <v/>
      </c>
      <c r="Z60" s="244">
        <f>Z25*1_Assumptions!$F$127*1_Assumptions!$F$130*3</f>
        <v/>
      </c>
      <c r="AA60" s="244">
        <f>AA25*1_Assumptions!$F$127*1_Assumptions!$F$130*3</f>
        <v/>
      </c>
      <c r="AB60" s="244">
        <f>AB25*1_Assumptions!$F$127*1_Assumptions!$F$130*3</f>
        <v/>
      </c>
      <c r="AC60" s="244">
        <f>AC25*1_Assumptions!$F$127*1_Assumptions!$F$130*3</f>
        <v/>
      </c>
    </row>
    <row r="61" ht="15" customHeight="1" s="160">
      <c r="A61" s="181" t="n"/>
      <c r="B61" s="182" t="inlineStr">
        <is>
          <t xml:space="preserve">  PS Revenue — Enterprise</t>
        </is>
      </c>
      <c r="C61" s="183" t="inlineStr">
        <is>
          <t>€</t>
        </is>
      </c>
      <c r="D61" s="181" t="n"/>
      <c r="E61" s="242">
        <f>E26*1_Assumptions!$F$128*1_Assumptions!$F$131*1</f>
        <v/>
      </c>
      <c r="F61" s="242">
        <f>F26*1_Assumptions!$F$128*1_Assumptions!$F$131*1</f>
        <v/>
      </c>
      <c r="G61" s="242">
        <f>G26*1_Assumptions!$F$128*1_Assumptions!$F$131*1</f>
        <v/>
      </c>
      <c r="H61" s="242">
        <f>H26*1_Assumptions!$F$128*1_Assumptions!$F$131*1</f>
        <v/>
      </c>
      <c r="I61" s="242">
        <f>I26*1_Assumptions!$F$128*1_Assumptions!$F$131*1</f>
        <v/>
      </c>
      <c r="J61" s="242">
        <f>J26*1_Assumptions!$F$128*1_Assumptions!$F$131*1</f>
        <v/>
      </c>
      <c r="K61" s="242">
        <f>K26*1_Assumptions!$F$128*1_Assumptions!$F$131*1</f>
        <v/>
      </c>
      <c r="L61" s="242">
        <f>L26*1_Assumptions!$F$128*1_Assumptions!$F$131*1</f>
        <v/>
      </c>
      <c r="M61" s="242">
        <f>M26*1_Assumptions!$F$128*1_Assumptions!$F$131*1</f>
        <v/>
      </c>
      <c r="N61" s="242">
        <f>N26*1_Assumptions!$F$128*1_Assumptions!$F$131*3</f>
        <v/>
      </c>
      <c r="O61" s="242">
        <f>O26*1_Assumptions!$F$128*1_Assumptions!$F$131*3</f>
        <v/>
      </c>
      <c r="P61" s="242">
        <f>P26*1_Assumptions!$F$128*1_Assumptions!$F$131*3</f>
        <v/>
      </c>
      <c r="Q61" s="242">
        <f>Q26*1_Assumptions!$F$128*1_Assumptions!$F$131*3</f>
        <v/>
      </c>
      <c r="R61" s="242">
        <f>R26*1_Assumptions!$F$128*1_Assumptions!$F$131*3</f>
        <v/>
      </c>
      <c r="S61" s="242">
        <f>S26*1_Assumptions!$F$128*1_Assumptions!$F$131*3</f>
        <v/>
      </c>
      <c r="T61" s="242">
        <f>T26*1_Assumptions!$F$128*1_Assumptions!$F$131*3</f>
        <v/>
      </c>
      <c r="U61" s="242">
        <f>U26*1_Assumptions!$F$128*1_Assumptions!$F$131*3</f>
        <v/>
      </c>
      <c r="V61" s="242">
        <f>V26*1_Assumptions!$F$128*1_Assumptions!$F$131*3</f>
        <v/>
      </c>
      <c r="W61" s="242">
        <f>W26*1_Assumptions!$F$128*1_Assumptions!$F$131*3</f>
        <v/>
      </c>
      <c r="X61" s="242">
        <f>X26*1_Assumptions!$F$128*1_Assumptions!$F$131*3</f>
        <v/>
      </c>
      <c r="Y61" s="242">
        <f>Y26*1_Assumptions!$F$128*1_Assumptions!$F$131*3</f>
        <v/>
      </c>
      <c r="Z61" s="242">
        <f>Z26*1_Assumptions!$F$128*1_Assumptions!$F$131*3</f>
        <v/>
      </c>
      <c r="AA61" s="242">
        <f>AA26*1_Assumptions!$F$128*1_Assumptions!$F$131*3</f>
        <v/>
      </c>
      <c r="AB61" s="242">
        <f>AB26*1_Assumptions!$F$128*1_Assumptions!$F$131*3</f>
        <v/>
      </c>
      <c r="AC61" s="242">
        <f>AC26*1_Assumptions!$F$128*1_Assumptions!$F$131*3</f>
        <v/>
      </c>
    </row>
    <row r="62" ht="15" customHeight="1" s="160">
      <c r="A62" s="176" t="n"/>
      <c r="B62" s="177" t="inlineStr">
        <is>
          <t>Total PS Revenue</t>
        </is>
      </c>
      <c r="C62" s="178" t="inlineStr">
        <is>
          <t>€</t>
        </is>
      </c>
      <c r="D62" s="176" t="n"/>
      <c r="E62" s="244">
        <f>E59+E60+E61</f>
        <v/>
      </c>
      <c r="F62" s="244">
        <f>F59+F60+F61</f>
        <v/>
      </c>
      <c r="G62" s="244">
        <f>G59+G60+G61</f>
        <v/>
      </c>
      <c r="H62" s="244">
        <f>H59+H60+H61</f>
        <v/>
      </c>
      <c r="I62" s="244">
        <f>I59+I60+I61</f>
        <v/>
      </c>
      <c r="J62" s="244">
        <f>J59+J60+J61</f>
        <v/>
      </c>
      <c r="K62" s="244">
        <f>K59+K60+K61</f>
        <v/>
      </c>
      <c r="L62" s="244">
        <f>L59+L60+L61</f>
        <v/>
      </c>
      <c r="M62" s="244">
        <f>M59+M60+M61</f>
        <v/>
      </c>
      <c r="N62" s="244">
        <f>N59+N60+N61</f>
        <v/>
      </c>
      <c r="O62" s="244">
        <f>O59+O60+O61</f>
        <v/>
      </c>
      <c r="P62" s="244">
        <f>P59+P60+P61</f>
        <v/>
      </c>
      <c r="Q62" s="244">
        <f>Q59+Q60+Q61</f>
        <v/>
      </c>
      <c r="R62" s="244">
        <f>R59+R60+R61</f>
        <v/>
      </c>
      <c r="S62" s="244">
        <f>S59+S60+S61</f>
        <v/>
      </c>
      <c r="T62" s="244">
        <f>T59+T60+T61</f>
        <v/>
      </c>
      <c r="U62" s="244">
        <f>U59+U60+U61</f>
        <v/>
      </c>
      <c r="V62" s="244">
        <f>V59+V60+V61</f>
        <v/>
      </c>
      <c r="W62" s="244">
        <f>W59+W60+W61</f>
        <v/>
      </c>
      <c r="X62" s="244">
        <f>X59+X60+X61</f>
        <v/>
      </c>
      <c r="Y62" s="244">
        <f>Y59+Y60+Y61</f>
        <v/>
      </c>
      <c r="Z62" s="244">
        <f>Z59+Z60+Z61</f>
        <v/>
      </c>
      <c r="AA62" s="244">
        <f>AA59+AA60+AA61</f>
        <v/>
      </c>
      <c r="AB62" s="244">
        <f>AB59+AB60+AB61</f>
        <v/>
      </c>
      <c r="AC62" s="244">
        <f>AC59+AC60+AC61</f>
        <v/>
      </c>
    </row>
    <row r="63" ht="15" customHeight="1" s="160">
      <c r="A63" s="181" t="n"/>
      <c r="B63" s="182" t="inlineStr">
        <is>
          <t xml:space="preserve">  PS as % of Total Revenue (flag if &gt;10%)</t>
        </is>
      </c>
      <c r="C63" s="183" t="inlineStr">
        <is>
          <t>%</t>
        </is>
      </c>
      <c r="D63" s="215" t="n"/>
      <c r="E63" s="198">
        <f>IFERROR(E62/E68,0)</f>
        <v/>
      </c>
      <c r="F63" s="198">
        <f>IFERROR(F62/F68,0)</f>
        <v/>
      </c>
      <c r="G63" s="198">
        <f>IFERROR(G62/G68,0)</f>
        <v/>
      </c>
      <c r="H63" s="198">
        <f>IFERROR(H62/H68,0)</f>
        <v/>
      </c>
      <c r="I63" s="198">
        <f>IFERROR(I62/I68,0)</f>
        <v/>
      </c>
      <c r="J63" s="198">
        <f>IFERROR(J62/J68,0)</f>
        <v/>
      </c>
      <c r="K63" s="198">
        <f>IFERROR(K62/K68,0)</f>
        <v/>
      </c>
      <c r="L63" s="198">
        <f>IFERROR(L62/L68,0)</f>
        <v/>
      </c>
      <c r="M63" s="198">
        <f>IFERROR(M62/M68,0)</f>
        <v/>
      </c>
      <c r="N63" s="198">
        <f>IFERROR(N62/N68,0)</f>
        <v/>
      </c>
      <c r="O63" s="198">
        <f>IFERROR(O62/O68,0)</f>
        <v/>
      </c>
      <c r="P63" s="198">
        <f>IFERROR(P62/P68,0)</f>
        <v/>
      </c>
      <c r="Q63" s="198">
        <f>IFERROR(Q62/Q68,0)</f>
        <v/>
      </c>
      <c r="R63" s="198">
        <f>IFERROR(R62/R68,0)</f>
        <v/>
      </c>
      <c r="S63" s="198">
        <f>IFERROR(S62/S68,0)</f>
        <v/>
      </c>
      <c r="T63" s="198">
        <f>IFERROR(T62/T68,0)</f>
        <v/>
      </c>
      <c r="U63" s="198">
        <f>IFERROR(U62/U68,0)</f>
        <v/>
      </c>
      <c r="V63" s="198">
        <f>IFERROR(V62/V68,0)</f>
        <v/>
      </c>
      <c r="W63" s="198">
        <f>IFERROR(W62/W68,0)</f>
        <v/>
      </c>
      <c r="X63" s="198">
        <f>IFERROR(X62/X68,0)</f>
        <v/>
      </c>
      <c r="Y63" s="198">
        <f>IFERROR(Y62/Y68,0)</f>
        <v/>
      </c>
      <c r="Z63" s="198">
        <f>IFERROR(Z62/Z68,0)</f>
        <v/>
      </c>
      <c r="AA63" s="198">
        <f>IFERROR(AA62/AA68,0)</f>
        <v/>
      </c>
      <c r="AB63" s="198">
        <f>IFERROR(AB62/AB68,0)</f>
        <v/>
      </c>
      <c r="AC63" s="198">
        <f>IFERROR(AC62/AC68,0)</f>
        <v/>
      </c>
    </row>
    <row r="65" ht="15" customHeight="1" s="160">
      <c r="A65" s="187" t="n"/>
      <c r="B65" s="188" t="inlineStr">
        <is>
          <t>H. TOTAL REVENUE SUMMARY</t>
        </is>
      </c>
      <c r="C65" s="187" t="n"/>
      <c r="D65" s="187" t="n"/>
      <c r="E65" s="187" t="n"/>
      <c r="F65" s="187" t="n"/>
      <c r="G65" s="187" t="n"/>
      <c r="H65" s="187" t="n"/>
      <c r="I65" s="187" t="n"/>
      <c r="J65" s="187" t="n"/>
      <c r="K65" s="187" t="n"/>
      <c r="L65" s="187" t="n"/>
      <c r="M65" s="187" t="n"/>
      <c r="N65" s="187" t="n"/>
      <c r="O65" s="187" t="n"/>
      <c r="P65" s="187" t="n"/>
      <c r="Q65" s="187" t="n"/>
      <c r="R65" s="187" t="n"/>
      <c r="S65" s="187" t="n"/>
      <c r="T65" s="187" t="n"/>
      <c r="U65" s="187" t="n"/>
      <c r="V65" s="187" t="n"/>
      <c r="W65" s="187" t="n"/>
      <c r="X65" s="187" t="n"/>
      <c r="Y65" s="187" t="n"/>
      <c r="Z65" s="187" t="n"/>
      <c r="AA65" s="187" t="n"/>
      <c r="AB65" s="187" t="n"/>
      <c r="AC65" s="187" t="n"/>
    </row>
    <row r="66" ht="15" customHeight="1" s="160">
      <c r="A66" s="181" t="n"/>
      <c r="B66" s="182" t="inlineStr">
        <is>
          <t>ARR (Annualised Recurring Revenue)</t>
        </is>
      </c>
      <c r="C66" s="183" t="inlineStr">
        <is>
          <t>€</t>
        </is>
      </c>
      <c r="D66" s="181" t="n"/>
      <c r="E66" s="242">
        <f>(E50+E56)*(12/1)</f>
        <v/>
      </c>
      <c r="F66" s="242">
        <f>(F50+F56)*(12/1)</f>
        <v/>
      </c>
      <c r="G66" s="242">
        <f>(G50+G56)*(12/1)</f>
        <v/>
      </c>
      <c r="H66" s="242">
        <f>(H50+H56)*(12/1)</f>
        <v/>
      </c>
      <c r="I66" s="242">
        <f>(I50+I56)*(12/1)</f>
        <v/>
      </c>
      <c r="J66" s="242">
        <f>(J50+J56)*(12/1)</f>
        <v/>
      </c>
      <c r="K66" s="242">
        <f>(K50+K56)*(12/1)</f>
        <v/>
      </c>
      <c r="L66" s="242">
        <f>(L50+L56)*(12/1)</f>
        <v/>
      </c>
      <c r="M66" s="242">
        <f>(M50+M56)*(12/1)</f>
        <v/>
      </c>
      <c r="N66" s="242">
        <f>(N50+N56)*(12/3)</f>
        <v/>
      </c>
      <c r="O66" s="242">
        <f>(O50+O56)*(12/3)</f>
        <v/>
      </c>
      <c r="P66" s="242">
        <f>(P50+P56)*(12/3)</f>
        <v/>
      </c>
      <c r="Q66" s="242">
        <f>(Q50+Q56)*(12/3)</f>
        <v/>
      </c>
      <c r="R66" s="242">
        <f>(R50+R56)*(12/3)</f>
        <v/>
      </c>
      <c r="S66" s="242">
        <f>(S50+S56)*(12/3)</f>
        <v/>
      </c>
      <c r="T66" s="242">
        <f>(T50+T56)*(12/3)</f>
        <v/>
      </c>
      <c r="U66" s="242">
        <f>(U50+U56)*(12/3)</f>
        <v/>
      </c>
      <c r="V66" s="242">
        <f>(V50+V56)*(12/3)</f>
        <v/>
      </c>
      <c r="W66" s="242">
        <f>(W50+W56)*(12/3)</f>
        <v/>
      </c>
      <c r="X66" s="242">
        <f>(X50+X56)*(12/3)</f>
        <v/>
      </c>
      <c r="Y66" s="242">
        <f>(Y50+Y56)*(12/3)</f>
        <v/>
      </c>
      <c r="Z66" s="242">
        <f>(Z50+Z56)*(12/3)</f>
        <v/>
      </c>
      <c r="AA66" s="242">
        <f>(AA50+AA56)*(12/3)</f>
        <v/>
      </c>
      <c r="AB66" s="242">
        <f>(AB50+AB56)*(12/3)</f>
        <v/>
      </c>
      <c r="AC66" s="242">
        <f>(AC50+AC56)*(12/3)</f>
        <v/>
      </c>
    </row>
    <row r="67" ht="15" customHeight="1" s="160">
      <c r="A67" s="176" t="n"/>
      <c r="B67" s="177" t="inlineStr">
        <is>
          <t>MRR (Monthly Recurring Revenue)</t>
        </is>
      </c>
      <c r="C67" s="178" t="inlineStr">
        <is>
          <t>€</t>
        </is>
      </c>
      <c r="D67" s="176" t="n"/>
      <c r="E67" s="244">
        <f>(E50+E56)/1</f>
        <v/>
      </c>
      <c r="F67" s="244">
        <f>(F50+F56)/1</f>
        <v/>
      </c>
      <c r="G67" s="244">
        <f>(G50+G56)/1</f>
        <v/>
      </c>
      <c r="H67" s="244">
        <f>(H50+H56)/1</f>
        <v/>
      </c>
      <c r="I67" s="244">
        <f>(I50+I56)/1</f>
        <v/>
      </c>
      <c r="J67" s="244">
        <f>(J50+J56)/1</f>
        <v/>
      </c>
      <c r="K67" s="244">
        <f>(K50+K56)/1</f>
        <v/>
      </c>
      <c r="L67" s="244">
        <f>(L50+L56)/1</f>
        <v/>
      </c>
      <c r="M67" s="244">
        <f>(M50+M56)/1</f>
        <v/>
      </c>
      <c r="N67" s="244">
        <f>(N50+N56)/3</f>
        <v/>
      </c>
      <c r="O67" s="244">
        <f>(O50+O56)/3</f>
        <v/>
      </c>
      <c r="P67" s="244">
        <f>(P50+P56)/3</f>
        <v/>
      </c>
      <c r="Q67" s="244">
        <f>(Q50+Q56)/3</f>
        <v/>
      </c>
      <c r="R67" s="244">
        <f>(R50+R56)/3</f>
        <v/>
      </c>
      <c r="S67" s="244">
        <f>(S50+S56)/3</f>
        <v/>
      </c>
      <c r="T67" s="244">
        <f>(T50+T56)/3</f>
        <v/>
      </c>
      <c r="U67" s="244">
        <f>(U50+U56)/3</f>
        <v/>
      </c>
      <c r="V67" s="244">
        <f>(V50+V56)/3</f>
        <v/>
      </c>
      <c r="W67" s="244">
        <f>(W50+W56)/3</f>
        <v/>
      </c>
      <c r="X67" s="244">
        <f>(X50+X56)/3</f>
        <v/>
      </c>
      <c r="Y67" s="244">
        <f>(Y50+Y56)/3</f>
        <v/>
      </c>
      <c r="Z67" s="244">
        <f>(Z50+Z56)/3</f>
        <v/>
      </c>
      <c r="AA67" s="244">
        <f>(AA50+AA56)/3</f>
        <v/>
      </c>
      <c r="AB67" s="244">
        <f>(AB50+AB56)/3</f>
        <v/>
      </c>
      <c r="AC67" s="244">
        <f>(AC50+AC56)/3</f>
        <v/>
      </c>
    </row>
    <row r="68" ht="15" customHeight="1" s="160">
      <c r="A68" s="246" t="n"/>
      <c r="B68" s="247" t="inlineStr">
        <is>
          <t>TOTAL REVENUE</t>
        </is>
      </c>
      <c r="C68" s="248" t="inlineStr">
        <is>
          <t>€</t>
        </is>
      </c>
      <c r="D68" s="249" t="n"/>
      <c r="E68" s="249">
        <f>E42+E50+E56+E62</f>
        <v/>
      </c>
      <c r="F68" s="249">
        <f>F42+F50+F56+F62</f>
        <v/>
      </c>
      <c r="G68" s="249">
        <f>G42+G50+G56+G62</f>
        <v/>
      </c>
      <c r="H68" s="249">
        <f>H42+H50+H56+H62</f>
        <v/>
      </c>
      <c r="I68" s="249">
        <f>I42+I50+I56+I62</f>
        <v/>
      </c>
      <c r="J68" s="249">
        <f>J42+J50+J56+J62</f>
        <v/>
      </c>
      <c r="K68" s="249">
        <f>K42+K50+K56+K62</f>
        <v/>
      </c>
      <c r="L68" s="249">
        <f>L42+L50+L56+L62</f>
        <v/>
      </c>
      <c r="M68" s="249">
        <f>M42+M50+M56+M62</f>
        <v/>
      </c>
      <c r="N68" s="249">
        <f>N42+N50+N56+N62</f>
        <v/>
      </c>
      <c r="O68" s="249">
        <f>O42+O50+O56+O62</f>
        <v/>
      </c>
      <c r="P68" s="249">
        <f>P42+P50+P56+P62</f>
        <v/>
      </c>
      <c r="Q68" s="249">
        <f>Q42+Q50+Q56+Q62</f>
        <v/>
      </c>
      <c r="R68" s="249">
        <f>R42+R50+R56+R62</f>
        <v/>
      </c>
      <c r="S68" s="249">
        <f>S42+S50+S56+S62</f>
        <v/>
      </c>
      <c r="T68" s="249">
        <f>T42+T50+T56+T62</f>
        <v/>
      </c>
      <c r="U68" s="249">
        <f>U42+U50+U56+U62</f>
        <v/>
      </c>
      <c r="V68" s="249">
        <f>V42+V50+V56+V62</f>
        <v/>
      </c>
      <c r="W68" s="249">
        <f>W42+W50+W56+W62</f>
        <v/>
      </c>
      <c r="X68" s="249">
        <f>X42+X50+X56+X62</f>
        <v/>
      </c>
      <c r="Y68" s="249">
        <f>Y42+Y50+Y56+Y62</f>
        <v/>
      </c>
      <c r="Z68" s="249">
        <f>Z42+Z50+Z56+Z62</f>
        <v/>
      </c>
      <c r="AA68" s="249">
        <f>AA42+AA50+AA56+AA62</f>
        <v/>
      </c>
      <c r="AB68" s="249">
        <f>AB42+AB50+AB56+AB62</f>
        <v/>
      </c>
      <c r="AC68" s="249">
        <f>AC42+AC50+AC56+AC62</f>
        <v/>
      </c>
      <c r="AF68" s="250" t="n"/>
      <c r="AG68" s="250" t="n"/>
    </row>
    <row r="70" ht="15" customHeight="1" s="160">
      <c r="A70" s="187" t="n"/>
      <c r="B70" s="188" t="inlineStr">
        <is>
          <t>I. COST OF GOODS SOLD &amp; GROSS PROFIT</t>
        </is>
      </c>
      <c r="C70" s="187" t="n"/>
      <c r="D70" s="187" t="n"/>
      <c r="E70" s="187" t="n"/>
      <c r="F70" s="187" t="n"/>
      <c r="G70" s="187" t="n"/>
      <c r="H70" s="187" t="n"/>
      <c r="I70" s="187" t="n"/>
      <c r="J70" s="187" t="n"/>
      <c r="K70" s="187" t="n"/>
      <c r="L70" s="187" t="n"/>
      <c r="M70" s="187" t="n"/>
      <c r="N70" s="187" t="n"/>
      <c r="O70" s="187" t="n"/>
      <c r="P70" s="187" t="n"/>
      <c r="Q70" s="187" t="n"/>
      <c r="R70" s="187" t="n"/>
      <c r="S70" s="187" t="n"/>
      <c r="T70" s="187" t="n"/>
      <c r="U70" s="187" t="n"/>
      <c r="V70" s="187" t="n"/>
      <c r="W70" s="187" t="n"/>
      <c r="X70" s="187" t="n"/>
      <c r="Y70" s="187" t="n"/>
      <c r="Z70" s="187" t="n"/>
      <c r="AA70" s="187" t="n"/>
      <c r="AB70" s="187" t="n"/>
      <c r="AC70" s="187" t="n"/>
      <c r="AG70" s="250" t="n"/>
    </row>
    <row r="71" ht="15" customHeight="1" s="160">
      <c r="A71" s="181" t="n"/>
      <c r="B71" s="182" t="inlineStr">
        <is>
          <t>COGS — SaaS (infra + support, by tier)</t>
        </is>
      </c>
      <c r="C71" s="183" t="inlineStr">
        <is>
          <t>€</t>
        </is>
      </c>
      <c r="D71" s="181" t="n"/>
      <c r="E71" s="242">
        <f>(E24*E30*1_Assumptions!$F$37*1+E24*E31*1_Assumptions!$F$38*1+E24*E32*1_Assumptions!$F$39*1+E24*E33*1_Assumptions!$F$40*1+E24*E34*1_Assumptions!$F$41*1)*1_Assumptions!$F$112+E24*MIN(1_Assumptions!$F$58*(1+1_Assumptions!$F$64)^(1-1),1_Assumptions!$F$69)*1_Assumptions!$F$109*1*(1+(E31+E32+E33+E34)*1_Assumptions!$F$67)+(E25*E30*1_Assumptions!$F$44*1+E25*E31*1_Assumptions!$F$45*1+E25*E32*1_Assumptions!$F$46*1+E25*E33*1_Assumptions!$F$47*1+E25*E34*1_Assumptions!$F$48*1)*1_Assumptions!$F$113+E25*MIN(1_Assumptions!$F$59*(1+1_Assumptions!$F$65)^(1-1),1_Assumptions!$F$70)*1_Assumptions!$F$110*1*(1+(E31+E32+E33+E34)*1_Assumptions!$F$67)+(E26*E30*1_Assumptions!$F$51*1+E26*E31*1_Assumptions!$F$52*1+E26*E32*1_Assumptions!$F$53*1+E26*E33*1_Assumptions!$F$54*1+E26*E34*1_Assumptions!$F$55*1)*1_Assumptions!$F$114+E26*MIN(1_Assumptions!$F$60*(1+1_Assumptions!$F$66)^(1-1),1_Assumptions!$F$71)*1_Assumptions!$F$111*1*(1+(E31+E32+E33+E34)*1_Assumptions!$F$67)</f>
        <v/>
      </c>
      <c r="F71" s="242">
        <f>(F24*F30*1_Assumptions!$F$37*1+F24*F31*1_Assumptions!$F$38*1+F24*F32*1_Assumptions!$F$39*1+F24*F33*1_Assumptions!$F$40*1+F24*F34*1_Assumptions!$F$41*1)*1_Assumptions!$F$112+F24*MIN(1_Assumptions!$F$58*(1+1_Assumptions!$F$64)^(2-1),1_Assumptions!$F$69)*1_Assumptions!$F$109*1*(1+(F31+F32+F33+F34)*1_Assumptions!$F$67)+(F25*F30*1_Assumptions!$F$44*1+F25*F31*1_Assumptions!$F$45*1+F25*F32*1_Assumptions!$F$46*1+F25*F33*1_Assumptions!$F$47*1+F25*F34*1_Assumptions!$F$48*1)*1_Assumptions!$F$113+F25*MIN(1_Assumptions!$F$59*(1+1_Assumptions!$F$65)^(2-1),1_Assumptions!$F$70)*1_Assumptions!$F$110*1*(1+(F31+F32+F33+F34)*1_Assumptions!$F$67)+(F26*F30*1_Assumptions!$F$51*1+F26*F31*1_Assumptions!$F$52*1+F26*F32*1_Assumptions!$F$53*1+F26*F33*1_Assumptions!$F$54*1+F26*F34*1_Assumptions!$F$55*1)*1_Assumptions!$F$114+F26*MIN(1_Assumptions!$F$60*(1+1_Assumptions!$F$66)^(2-1),1_Assumptions!$F$71)*1_Assumptions!$F$111*1*(1+(F31+F32+F33+F34)*1_Assumptions!$F$67)</f>
        <v/>
      </c>
      <c r="G71" s="242">
        <f>(G24*G30*1_Assumptions!$F$37*1+G24*G31*1_Assumptions!$F$38*1+G24*G32*1_Assumptions!$F$39*1+G24*G33*1_Assumptions!$F$40*1+G24*G34*1_Assumptions!$F$41*1)*1_Assumptions!$F$112+G24*MIN(1_Assumptions!$F$58*(1+1_Assumptions!$F$64)^(3-1),1_Assumptions!$F$69)*1_Assumptions!$F$109*1*(1+(G31+G32+G33+G34)*1_Assumptions!$F$67)+(G25*G30*1_Assumptions!$F$44*1+G25*G31*1_Assumptions!$F$45*1+G25*G32*1_Assumptions!$F$46*1+G25*G33*1_Assumptions!$F$47*1+G25*G34*1_Assumptions!$F$48*1)*1_Assumptions!$F$113+G25*MIN(1_Assumptions!$F$59*(1+1_Assumptions!$F$65)^(3-1),1_Assumptions!$F$70)*1_Assumptions!$F$110*1*(1+(G31+G32+G33+G34)*1_Assumptions!$F$67)+(G26*G30*1_Assumptions!$F$51*1+G26*G31*1_Assumptions!$F$52*1+G26*G32*1_Assumptions!$F$53*1+G26*G33*1_Assumptions!$F$54*1+G26*G34*1_Assumptions!$F$55*1)*1_Assumptions!$F$114+G26*MIN(1_Assumptions!$F$60*(1+1_Assumptions!$F$66)^(3-1),1_Assumptions!$F$71)*1_Assumptions!$F$111*1*(1+(G31+G32+G33+G34)*1_Assumptions!$F$67)</f>
        <v/>
      </c>
      <c r="H71" s="242">
        <f>(H24*H30*1_Assumptions!$F$37*1+H24*H31*1_Assumptions!$F$38*1+H24*H32*1_Assumptions!$F$39*1+H24*H33*1_Assumptions!$F$40*1+H24*H34*1_Assumptions!$F$41*1)*1_Assumptions!$F$112+H24*MIN(1_Assumptions!$F$58*(1+1_Assumptions!$F$64)^(4-1),1_Assumptions!$F$69)*1_Assumptions!$F$109*1*(1+(H31+H32+H33+H34)*1_Assumptions!$F$67)+(H25*H30*1_Assumptions!$F$44*1+H25*H31*1_Assumptions!$F$45*1+H25*H32*1_Assumptions!$F$46*1+H25*H33*1_Assumptions!$F$47*1+H25*H34*1_Assumptions!$F$48*1)*1_Assumptions!$F$113+H25*MIN(1_Assumptions!$F$59*(1+1_Assumptions!$F$65)^(4-1),1_Assumptions!$F$70)*1_Assumptions!$F$110*1*(1+(H31+H32+H33+H34)*1_Assumptions!$F$67)+(H26*H30*1_Assumptions!$F$51*1+H26*H31*1_Assumptions!$F$52*1+H26*H32*1_Assumptions!$F$53*1+H26*H33*1_Assumptions!$F$54*1+H26*H34*1_Assumptions!$F$55*1)*1_Assumptions!$F$114+H26*MIN(1_Assumptions!$F$60*(1+1_Assumptions!$F$66)^(4-1),1_Assumptions!$F$71)*1_Assumptions!$F$111*1*(1+(H31+H32+H33+H34)*1_Assumptions!$F$67)</f>
        <v/>
      </c>
      <c r="I71" s="242">
        <f>(I24*I30*1_Assumptions!$F$37*1+I24*I31*1_Assumptions!$F$38*1+I24*I32*1_Assumptions!$F$39*1+I24*I33*1_Assumptions!$F$40*1+I24*I34*1_Assumptions!$F$41*1)*1_Assumptions!$F$112+I24*MIN(1_Assumptions!$F$58*(1+1_Assumptions!$F$64)^(5-1),1_Assumptions!$F$69)*1_Assumptions!$F$109*1*(1+(I31+I32+I33+I34)*1_Assumptions!$F$67)+(I25*I30*1_Assumptions!$F$44*1+I25*I31*1_Assumptions!$F$45*1+I25*I32*1_Assumptions!$F$46*1+I25*I33*1_Assumptions!$F$47*1+I25*I34*1_Assumptions!$F$48*1)*1_Assumptions!$F$113+I25*MIN(1_Assumptions!$F$59*(1+1_Assumptions!$F$65)^(5-1),1_Assumptions!$F$70)*1_Assumptions!$F$110*1*(1+(I31+I32+I33+I34)*1_Assumptions!$F$67)+(I26*I30*1_Assumptions!$F$51*1+I26*I31*1_Assumptions!$F$52*1+I26*I32*1_Assumptions!$F$53*1+I26*I33*1_Assumptions!$F$54*1+I26*I34*1_Assumptions!$F$55*1)*1_Assumptions!$F$114+I26*MIN(1_Assumptions!$F$60*(1+1_Assumptions!$F$66)^(5-1),1_Assumptions!$F$71)*1_Assumptions!$F$111*1*(1+(I31+I32+I33+I34)*1_Assumptions!$F$67)</f>
        <v/>
      </c>
      <c r="J71" s="242">
        <f>(J24*J30*1_Assumptions!$F$37*1+J24*J31*1_Assumptions!$F$38*1+J24*J32*1_Assumptions!$F$39*1+J24*J33*1_Assumptions!$F$40*1+J24*J34*1_Assumptions!$F$41*1)*1_Assumptions!$F$112+J24*MIN(1_Assumptions!$F$58*(1+1_Assumptions!$F$64)^(6-1),1_Assumptions!$F$69)*1_Assumptions!$F$109*1*(1+(J31+J32+J33+J34)*1_Assumptions!$F$67)+(J25*J30*1_Assumptions!$F$44*1+J25*J31*1_Assumptions!$F$45*1+J25*J32*1_Assumptions!$F$46*1+J25*J33*1_Assumptions!$F$47*1+J25*J34*1_Assumptions!$F$48*1)*1_Assumptions!$F$113+J25*MIN(1_Assumptions!$F$59*(1+1_Assumptions!$F$65)^(6-1),1_Assumptions!$F$70)*1_Assumptions!$F$110*1*(1+(J31+J32+J33+J34)*1_Assumptions!$F$67)+(J26*J30*1_Assumptions!$F$51*1+J26*J31*1_Assumptions!$F$52*1+J26*J32*1_Assumptions!$F$53*1+J26*J33*1_Assumptions!$F$54*1+J26*J34*1_Assumptions!$F$55*1)*1_Assumptions!$F$114+J26*MIN(1_Assumptions!$F$60*(1+1_Assumptions!$F$66)^(6-1),1_Assumptions!$F$71)*1_Assumptions!$F$111*1*(1+(J31+J32+J33+J34)*1_Assumptions!$F$67)</f>
        <v/>
      </c>
      <c r="K71" s="242">
        <f>(K24*K30*1_Assumptions!$F$37*1+K24*K31*1_Assumptions!$F$38*1+K24*K32*1_Assumptions!$F$39*1+K24*K33*1_Assumptions!$F$40*1+K24*K34*1_Assumptions!$F$41*1)*1_Assumptions!$F$112+K24*MIN(1_Assumptions!$F$58*(1+1_Assumptions!$F$64)^(7-1),1_Assumptions!$F$69)*1_Assumptions!$F$109*1*(1+(K31+K32+K33+K34)*1_Assumptions!$F$67)+(K25*K30*1_Assumptions!$F$44*1+K25*K31*1_Assumptions!$F$45*1+K25*K32*1_Assumptions!$F$46*1+K25*K33*1_Assumptions!$F$47*1+K25*K34*1_Assumptions!$F$48*1)*1_Assumptions!$F$113+K25*MIN(1_Assumptions!$F$59*(1+1_Assumptions!$F$65)^(7-1),1_Assumptions!$F$70)*1_Assumptions!$F$110*1*(1+(K31+K32+K33+K34)*1_Assumptions!$F$67)+(K26*K30*1_Assumptions!$F$51*1+K26*K31*1_Assumptions!$F$52*1+K26*K32*1_Assumptions!$F$53*1+K26*K33*1_Assumptions!$F$54*1+K26*K34*1_Assumptions!$F$55*1)*1_Assumptions!$F$114+K26*MIN(1_Assumptions!$F$60*(1+1_Assumptions!$F$66)^(7-1),1_Assumptions!$F$71)*1_Assumptions!$F$111*1*(1+(K31+K32+K33+K34)*1_Assumptions!$F$67)</f>
        <v/>
      </c>
      <c r="L71" s="242">
        <f>(L24*L30*1_Assumptions!$F$37*1+L24*L31*1_Assumptions!$F$38*1+L24*L32*1_Assumptions!$F$39*1+L24*L33*1_Assumptions!$F$40*1+L24*L34*1_Assumptions!$F$41*1)*1_Assumptions!$F$112+L24*MIN(1_Assumptions!$F$58*(1+1_Assumptions!$F$64)^(8-1),1_Assumptions!$F$69)*1_Assumptions!$F$109*1*(1+(L31+L32+L33+L34)*1_Assumptions!$F$67)+(L25*L30*1_Assumptions!$F$44*1+L25*L31*1_Assumptions!$F$45*1+L25*L32*1_Assumptions!$F$46*1+L25*L33*1_Assumptions!$F$47*1+L25*L34*1_Assumptions!$F$48*1)*1_Assumptions!$F$113+L25*MIN(1_Assumptions!$F$59*(1+1_Assumptions!$F$65)^(8-1),1_Assumptions!$F$70)*1_Assumptions!$F$110*1*(1+(L31+L32+L33+L34)*1_Assumptions!$F$67)+(L26*L30*1_Assumptions!$F$51*1+L26*L31*1_Assumptions!$F$52*1+L26*L32*1_Assumptions!$F$53*1+L26*L33*1_Assumptions!$F$54*1+L26*L34*1_Assumptions!$F$55*1)*1_Assumptions!$F$114+L26*MIN(1_Assumptions!$F$60*(1+1_Assumptions!$F$66)^(8-1),1_Assumptions!$F$71)*1_Assumptions!$F$111*1*(1+(L31+L32+L33+L34)*1_Assumptions!$F$67)</f>
        <v/>
      </c>
      <c r="M71" s="242">
        <f>(M24*M30*1_Assumptions!$F$37*1+M24*M31*1_Assumptions!$F$38*1+M24*M32*1_Assumptions!$F$39*1+M24*M33*1_Assumptions!$F$40*1+M24*M34*1_Assumptions!$F$41*1)*1_Assumptions!$F$112+M24*MIN(1_Assumptions!$F$58*(1+1_Assumptions!$F$64)^(9-1),1_Assumptions!$F$69)*1_Assumptions!$F$109*1*(1+(M31+M32+M33+M34)*1_Assumptions!$F$67)+(M25*M30*1_Assumptions!$F$44*1+M25*M31*1_Assumptions!$F$45*1+M25*M32*1_Assumptions!$F$46*1+M25*M33*1_Assumptions!$F$47*1+M25*M34*1_Assumptions!$F$48*1)*1_Assumptions!$F$113+M25*MIN(1_Assumptions!$F$59*(1+1_Assumptions!$F$65)^(9-1),1_Assumptions!$F$70)*1_Assumptions!$F$110*1*(1+(M31+M32+M33+M34)*1_Assumptions!$F$67)+(M26*M30*1_Assumptions!$F$51*1+M26*M31*1_Assumptions!$F$52*1+M26*M32*1_Assumptions!$F$53*1+M26*M33*1_Assumptions!$F$54*1+M26*M34*1_Assumptions!$F$55*1)*1_Assumptions!$F$114+M26*MIN(1_Assumptions!$F$60*(1+1_Assumptions!$F$66)^(9-1),1_Assumptions!$F$71)*1_Assumptions!$F$111*1*(1+(M31+M32+M33+M34)*1_Assumptions!$F$67)</f>
        <v/>
      </c>
      <c r="N71" s="242">
        <f>(N24*N30*1_Assumptions!$F$37*3+N24*N31*1_Assumptions!$F$38*3+N24*N32*1_Assumptions!$F$39*3+N24*N33*1_Assumptions!$F$40*3+N24*N34*1_Assumptions!$F$41*3)*1_Assumptions!$F$112+N24*MIN(1_Assumptions!$F$58*(1+1_Assumptions!$F$64)^(10-1),1_Assumptions!$F$69)*1_Assumptions!$F$109*3*(1+(N31+N32+N33+N34)*1_Assumptions!$F$67)+(N25*N30*1_Assumptions!$F$44*3+N25*N31*1_Assumptions!$F$45*3+N25*N32*1_Assumptions!$F$46*3+N25*N33*1_Assumptions!$F$47*3+N25*N34*1_Assumptions!$F$48*3)*1_Assumptions!$F$113+N25*MIN(1_Assumptions!$F$59*(1+1_Assumptions!$F$65)^(10-1),1_Assumptions!$F$70)*1_Assumptions!$F$110*3*(1+(N31+N32+N33+N34)*1_Assumptions!$F$67)+(N26*N30*1_Assumptions!$F$51*3+N26*N31*1_Assumptions!$F$52*3+N26*N32*1_Assumptions!$F$53*3+N26*N33*1_Assumptions!$F$54*3+N26*N34*1_Assumptions!$F$55*3)*1_Assumptions!$F$114+N26*MIN(1_Assumptions!$F$60*(1+1_Assumptions!$F$66)^(10-1),1_Assumptions!$F$71)*1_Assumptions!$F$111*3*(1+(N31+N32+N33+N34)*1_Assumptions!$F$67)</f>
        <v/>
      </c>
      <c r="O71" s="242">
        <f>(O24*O30*1_Assumptions!$F$37*3+O24*O31*1_Assumptions!$F$38*3+O24*O32*1_Assumptions!$F$39*3+O24*O33*1_Assumptions!$F$40*3+O24*O34*1_Assumptions!$F$41*3)*1_Assumptions!$F$112+O24*MIN(1_Assumptions!$F$58*(1+1_Assumptions!$F$64)^(13-1),1_Assumptions!$F$69)*1_Assumptions!$F$109*3*(1+(O31+O32+O33+O34)*1_Assumptions!$F$67)+(O25*O30*1_Assumptions!$F$44*3+O25*O31*1_Assumptions!$F$45*3+O25*O32*1_Assumptions!$F$46*3+O25*O33*1_Assumptions!$F$47*3+O25*O34*1_Assumptions!$F$48*3)*1_Assumptions!$F$113+O25*MIN(1_Assumptions!$F$59*(1+1_Assumptions!$F$65)^(13-1),1_Assumptions!$F$70)*1_Assumptions!$F$110*3*(1+(O31+O32+O33+O34)*1_Assumptions!$F$67)+(O26*O30*1_Assumptions!$F$51*3+O26*O31*1_Assumptions!$F$52*3+O26*O32*1_Assumptions!$F$53*3+O26*O33*1_Assumptions!$F$54*3+O26*O34*1_Assumptions!$F$55*3)*1_Assumptions!$F$114+O26*MIN(1_Assumptions!$F$60*(1+1_Assumptions!$F$66)^(13-1),1_Assumptions!$F$71)*1_Assumptions!$F$111*3*(1+(O31+O32+O33+O34)*1_Assumptions!$F$67)</f>
        <v/>
      </c>
      <c r="P71" s="242">
        <f>(P24*P30*1_Assumptions!$F$37*3+P24*P31*1_Assumptions!$F$38*3+P24*P32*1_Assumptions!$F$39*3+P24*P33*1_Assumptions!$F$40*3+P24*P34*1_Assumptions!$F$41*3)*1_Assumptions!$F$112+P24*MIN(1_Assumptions!$F$58*(1+1_Assumptions!$F$64)^(16-1),1_Assumptions!$F$69)*1_Assumptions!$F$109*3*(1+(P31+P32+P33+P34)*1_Assumptions!$F$67)+(P25*P30*1_Assumptions!$F$44*3+P25*P31*1_Assumptions!$F$45*3+P25*P32*1_Assumptions!$F$46*3+P25*P33*1_Assumptions!$F$47*3+P25*P34*1_Assumptions!$F$48*3)*1_Assumptions!$F$113+P25*MIN(1_Assumptions!$F$59*(1+1_Assumptions!$F$65)^(16-1),1_Assumptions!$F$70)*1_Assumptions!$F$110*3*(1+(P31+P32+P33+P34)*1_Assumptions!$F$67)+(P26*P30*1_Assumptions!$F$51*3+P26*P31*1_Assumptions!$F$52*3+P26*P32*1_Assumptions!$F$53*3+P26*P33*1_Assumptions!$F$54*3+P26*P34*1_Assumptions!$F$55*3)*1_Assumptions!$F$114+P26*MIN(1_Assumptions!$F$60*(1+1_Assumptions!$F$66)^(16-1),1_Assumptions!$F$71)*1_Assumptions!$F$111*3*(1+(P31+P32+P33+P34)*1_Assumptions!$F$67)</f>
        <v/>
      </c>
      <c r="Q71" s="242">
        <f>(Q24*Q30*1_Assumptions!$F$37*3+Q24*Q31*1_Assumptions!$F$38*3+Q24*Q32*1_Assumptions!$F$39*3+Q24*Q33*1_Assumptions!$F$40*3+Q24*Q34*1_Assumptions!$F$41*3)*1_Assumptions!$F$112+Q24*MIN(1_Assumptions!$F$58*(1+1_Assumptions!$F$64)^(19-1),1_Assumptions!$F$69)*1_Assumptions!$F$109*3*(1+(Q31+Q32+Q33+Q34)*1_Assumptions!$F$67)+(Q25*Q30*1_Assumptions!$F$44*3+Q25*Q31*1_Assumptions!$F$45*3+Q25*Q32*1_Assumptions!$F$46*3+Q25*Q33*1_Assumptions!$F$47*3+Q25*Q34*1_Assumptions!$F$48*3)*1_Assumptions!$F$113+Q25*MIN(1_Assumptions!$F$59*(1+1_Assumptions!$F$65)^(19-1),1_Assumptions!$F$70)*1_Assumptions!$F$110*3*(1+(Q31+Q32+Q33+Q34)*1_Assumptions!$F$67)+(Q26*Q30*1_Assumptions!$F$51*3+Q26*Q31*1_Assumptions!$F$52*3+Q26*Q32*1_Assumptions!$F$53*3+Q26*Q33*1_Assumptions!$F$54*3+Q26*Q34*1_Assumptions!$F$55*3)*1_Assumptions!$F$114+Q26*MIN(1_Assumptions!$F$60*(1+1_Assumptions!$F$66)^(19-1),1_Assumptions!$F$71)*1_Assumptions!$F$111*3*(1+(Q31+Q32+Q33+Q34)*1_Assumptions!$F$67)</f>
        <v/>
      </c>
      <c r="R71" s="242">
        <f>(R24*R30*1_Assumptions!$F$37*3+R24*R31*1_Assumptions!$F$38*3+R24*R32*1_Assumptions!$F$39*3+R24*R33*1_Assumptions!$F$40*3+R24*R34*1_Assumptions!$F$41*3)*1_Assumptions!$F$112+R24*MIN(1_Assumptions!$F$58*(1+1_Assumptions!$F$64)^(22-1),1_Assumptions!$F$69)*1_Assumptions!$F$109*3*(1+(R31+R32+R33+R34)*1_Assumptions!$F$67)+(R25*R30*1_Assumptions!$F$44*3+R25*R31*1_Assumptions!$F$45*3+R25*R32*1_Assumptions!$F$46*3+R25*R33*1_Assumptions!$F$47*3+R25*R34*1_Assumptions!$F$48*3)*1_Assumptions!$F$113+R25*MIN(1_Assumptions!$F$59*(1+1_Assumptions!$F$65)^(22-1),1_Assumptions!$F$70)*1_Assumptions!$F$110*3*(1+(R31+R32+R33+R34)*1_Assumptions!$F$67)+(R26*R30*1_Assumptions!$F$51*3+R26*R31*1_Assumptions!$F$52*3+R26*R32*1_Assumptions!$F$53*3+R26*R33*1_Assumptions!$F$54*3+R26*R34*1_Assumptions!$F$55*3)*1_Assumptions!$F$114+R26*MIN(1_Assumptions!$F$60*(1+1_Assumptions!$F$66)^(22-1),1_Assumptions!$F$71)*1_Assumptions!$F$111*3*(1+(R31+R32+R33+R34)*1_Assumptions!$F$67)</f>
        <v/>
      </c>
      <c r="S71" s="242">
        <f>(S24*S30*1_Assumptions!$F$37*3+S24*S31*1_Assumptions!$F$38*3+S24*S32*1_Assumptions!$F$39*3+S24*S33*1_Assumptions!$F$40*3+S24*S34*1_Assumptions!$F$41*3)*1_Assumptions!$F$112+S24*MIN(1_Assumptions!$F$58*(1+1_Assumptions!$F$64)^(25-1),1_Assumptions!$F$69)*1_Assumptions!$F$109*3*(1+(S31+S32+S33+S34)*1_Assumptions!$F$67)+(S25*S30*1_Assumptions!$F$44*3+S25*S31*1_Assumptions!$F$45*3+S25*S32*1_Assumptions!$F$46*3+S25*S33*1_Assumptions!$F$47*3+S25*S34*1_Assumptions!$F$48*3)*1_Assumptions!$F$113+S25*MIN(1_Assumptions!$F$59*(1+1_Assumptions!$F$65)^(25-1),1_Assumptions!$F$70)*1_Assumptions!$F$110*3*(1+(S31+S32+S33+S34)*1_Assumptions!$F$67)+(S26*S30*1_Assumptions!$F$51*3+S26*S31*1_Assumptions!$F$52*3+S26*S32*1_Assumptions!$F$53*3+S26*S33*1_Assumptions!$F$54*3+S26*S34*1_Assumptions!$F$55*3)*1_Assumptions!$F$114+S26*MIN(1_Assumptions!$F$60*(1+1_Assumptions!$F$66)^(25-1),1_Assumptions!$F$71)*1_Assumptions!$F$111*3*(1+(S31+S32+S33+S34)*1_Assumptions!$F$67)</f>
        <v/>
      </c>
      <c r="T71" s="242">
        <f>(T24*T30*1_Assumptions!$F$37*3+T24*T31*1_Assumptions!$F$38*3+T24*T32*1_Assumptions!$F$39*3+T24*T33*1_Assumptions!$F$40*3+T24*T34*1_Assumptions!$F$41*3)*1_Assumptions!$F$112+T24*MIN(1_Assumptions!$F$58*(1+1_Assumptions!$F$64)^(28-1),1_Assumptions!$F$69)*1_Assumptions!$F$109*3*(1+(T31+T32+T33+T34)*1_Assumptions!$F$67)+(T25*T30*1_Assumptions!$F$44*3+T25*T31*1_Assumptions!$F$45*3+T25*T32*1_Assumptions!$F$46*3+T25*T33*1_Assumptions!$F$47*3+T25*T34*1_Assumptions!$F$48*3)*1_Assumptions!$F$113+T25*MIN(1_Assumptions!$F$59*(1+1_Assumptions!$F$65)^(28-1),1_Assumptions!$F$70)*1_Assumptions!$F$110*3*(1+(T31+T32+T33+T34)*1_Assumptions!$F$67)+(T26*T30*1_Assumptions!$F$51*3+T26*T31*1_Assumptions!$F$52*3+T26*T32*1_Assumptions!$F$53*3+T26*T33*1_Assumptions!$F$54*3+T26*T34*1_Assumptions!$F$55*3)*1_Assumptions!$F$114+T26*MIN(1_Assumptions!$F$60*(1+1_Assumptions!$F$66)^(28-1),1_Assumptions!$F$71)*1_Assumptions!$F$111*3*(1+(T31+T32+T33+T34)*1_Assumptions!$F$67)</f>
        <v/>
      </c>
      <c r="U71" s="242">
        <f>(U24*U30*1_Assumptions!$F$37*3+U24*U31*1_Assumptions!$F$38*3+U24*U32*1_Assumptions!$F$39*3+U24*U33*1_Assumptions!$F$40*3+U24*U34*1_Assumptions!$F$41*3)*1_Assumptions!$F$112+U24*MIN(1_Assumptions!$F$58*(1+1_Assumptions!$F$64)^(31-1),1_Assumptions!$F$69)*1_Assumptions!$F$109*3*(1+(U31+U32+U33+U34)*1_Assumptions!$F$67)+(U25*U30*1_Assumptions!$F$44*3+U25*U31*1_Assumptions!$F$45*3+U25*U32*1_Assumptions!$F$46*3+U25*U33*1_Assumptions!$F$47*3+U25*U34*1_Assumptions!$F$48*3)*1_Assumptions!$F$113+U25*MIN(1_Assumptions!$F$59*(1+1_Assumptions!$F$65)^(31-1),1_Assumptions!$F$70)*1_Assumptions!$F$110*3*(1+(U31+U32+U33+U34)*1_Assumptions!$F$67)+(U26*U30*1_Assumptions!$F$51*3+U26*U31*1_Assumptions!$F$52*3+U26*U32*1_Assumptions!$F$53*3+U26*U33*1_Assumptions!$F$54*3+U26*U34*1_Assumptions!$F$55*3)*1_Assumptions!$F$114+U26*MIN(1_Assumptions!$F$60*(1+1_Assumptions!$F$66)^(31-1),1_Assumptions!$F$71)*1_Assumptions!$F$111*3*(1+(U31+U32+U33+U34)*1_Assumptions!$F$67)</f>
        <v/>
      </c>
      <c r="V71" s="242">
        <f>(V24*V30*1_Assumptions!$F$37*3+V24*V31*1_Assumptions!$F$38*3+V24*V32*1_Assumptions!$F$39*3+V24*V33*1_Assumptions!$F$40*3+V24*V34*1_Assumptions!$F$41*3)*1_Assumptions!$F$112+V24*MIN(1_Assumptions!$F$58*(1+1_Assumptions!$F$64)^(34-1),1_Assumptions!$F$69)*1_Assumptions!$F$109*3*(1+(V31+V32+V33+V34)*1_Assumptions!$F$67)+(V25*V30*1_Assumptions!$F$44*3+V25*V31*1_Assumptions!$F$45*3+V25*V32*1_Assumptions!$F$46*3+V25*V33*1_Assumptions!$F$47*3+V25*V34*1_Assumptions!$F$48*3)*1_Assumptions!$F$113+V25*MIN(1_Assumptions!$F$59*(1+1_Assumptions!$F$65)^(34-1),1_Assumptions!$F$70)*1_Assumptions!$F$110*3*(1+(V31+V32+V33+V34)*1_Assumptions!$F$67)+(V26*V30*1_Assumptions!$F$51*3+V26*V31*1_Assumptions!$F$52*3+V26*V32*1_Assumptions!$F$53*3+V26*V33*1_Assumptions!$F$54*3+V26*V34*1_Assumptions!$F$55*3)*1_Assumptions!$F$114+V26*MIN(1_Assumptions!$F$60*(1+1_Assumptions!$F$66)^(34-1),1_Assumptions!$F$71)*1_Assumptions!$F$111*3*(1+(V31+V32+V33+V34)*1_Assumptions!$F$67)</f>
        <v/>
      </c>
      <c r="W71" s="242">
        <f>(W24*W30*1_Assumptions!$F$37*3+W24*W31*1_Assumptions!$F$38*3+W24*W32*1_Assumptions!$F$39*3+W24*W33*1_Assumptions!$F$40*3+W24*W34*1_Assumptions!$F$41*3)*1_Assumptions!$F$112+W24*MIN(1_Assumptions!$F$58*(1+1_Assumptions!$F$64)^(37-1),1_Assumptions!$F$69)*1_Assumptions!$F$109*3*(1+(W31+W32+W33+W34)*1_Assumptions!$F$67)+(W25*W30*1_Assumptions!$F$44*3+W25*W31*1_Assumptions!$F$45*3+W25*W32*1_Assumptions!$F$46*3+W25*W33*1_Assumptions!$F$47*3+W25*W34*1_Assumptions!$F$48*3)*1_Assumptions!$F$113+W25*MIN(1_Assumptions!$F$59*(1+1_Assumptions!$F$65)^(37-1),1_Assumptions!$F$70)*1_Assumptions!$F$110*3*(1+(W31+W32+W33+W34)*1_Assumptions!$F$67)+(W26*W30*1_Assumptions!$F$51*3+W26*W31*1_Assumptions!$F$52*3+W26*W32*1_Assumptions!$F$53*3+W26*W33*1_Assumptions!$F$54*3+W26*W34*1_Assumptions!$F$55*3)*1_Assumptions!$F$114+W26*MIN(1_Assumptions!$F$60*(1+1_Assumptions!$F$66)^(37-1),1_Assumptions!$F$71)*1_Assumptions!$F$111*3*(1+(W31+W32+W33+W34)*1_Assumptions!$F$67)</f>
        <v/>
      </c>
      <c r="X71" s="242">
        <f>(X24*X30*1_Assumptions!$F$37*3+X24*X31*1_Assumptions!$F$38*3+X24*X32*1_Assumptions!$F$39*3+X24*X33*1_Assumptions!$F$40*3+X24*X34*1_Assumptions!$F$41*3)*1_Assumptions!$F$112+X24*MIN(1_Assumptions!$F$58*(1+1_Assumptions!$F$64)^(40-1),1_Assumptions!$F$69)*1_Assumptions!$F$109*3*(1+(X31+X32+X33+X34)*1_Assumptions!$F$67)+(X25*X30*1_Assumptions!$F$44*3+X25*X31*1_Assumptions!$F$45*3+X25*X32*1_Assumptions!$F$46*3+X25*X33*1_Assumptions!$F$47*3+X25*X34*1_Assumptions!$F$48*3)*1_Assumptions!$F$113+X25*MIN(1_Assumptions!$F$59*(1+1_Assumptions!$F$65)^(40-1),1_Assumptions!$F$70)*1_Assumptions!$F$110*3*(1+(X31+X32+X33+X34)*1_Assumptions!$F$67)+(X26*X30*1_Assumptions!$F$51*3+X26*X31*1_Assumptions!$F$52*3+X26*X32*1_Assumptions!$F$53*3+X26*X33*1_Assumptions!$F$54*3+X26*X34*1_Assumptions!$F$55*3)*1_Assumptions!$F$114+X26*MIN(1_Assumptions!$F$60*(1+1_Assumptions!$F$66)^(40-1),1_Assumptions!$F$71)*1_Assumptions!$F$111*3*(1+(X31+X32+X33+X34)*1_Assumptions!$F$67)</f>
        <v/>
      </c>
      <c r="Y71" s="242">
        <f>(Y24*Y30*1_Assumptions!$F$37*3+Y24*Y31*1_Assumptions!$F$38*3+Y24*Y32*1_Assumptions!$F$39*3+Y24*Y33*1_Assumptions!$F$40*3+Y24*Y34*1_Assumptions!$F$41*3)*1_Assumptions!$F$112+Y24*MIN(1_Assumptions!$F$58*(1+1_Assumptions!$F$64)^(43-1),1_Assumptions!$F$69)*1_Assumptions!$F$109*3*(1+(Y31+Y32+Y33+Y34)*1_Assumptions!$F$67)+(Y25*Y30*1_Assumptions!$F$44*3+Y25*Y31*1_Assumptions!$F$45*3+Y25*Y32*1_Assumptions!$F$46*3+Y25*Y33*1_Assumptions!$F$47*3+Y25*Y34*1_Assumptions!$F$48*3)*1_Assumptions!$F$113+Y25*MIN(1_Assumptions!$F$59*(1+1_Assumptions!$F$65)^(43-1),1_Assumptions!$F$70)*1_Assumptions!$F$110*3*(1+(Y31+Y32+Y33+Y34)*1_Assumptions!$F$67)+(Y26*Y30*1_Assumptions!$F$51*3+Y26*Y31*1_Assumptions!$F$52*3+Y26*Y32*1_Assumptions!$F$53*3+Y26*Y33*1_Assumptions!$F$54*3+Y26*Y34*1_Assumptions!$F$55*3)*1_Assumptions!$F$114+Y26*MIN(1_Assumptions!$F$60*(1+1_Assumptions!$F$66)^(43-1),1_Assumptions!$F$71)*1_Assumptions!$F$111*3*(1+(Y31+Y32+Y33+Y34)*1_Assumptions!$F$67)</f>
        <v/>
      </c>
      <c r="Z71" s="242">
        <f>(Z24*Z30*1_Assumptions!$F$37*3+Z24*Z31*1_Assumptions!$F$38*3+Z24*Z32*1_Assumptions!$F$39*3+Z24*Z33*1_Assumptions!$F$40*3+Z24*Z34*1_Assumptions!$F$41*3)*1_Assumptions!$F$112+Z24*MIN(1_Assumptions!$F$58*(1+1_Assumptions!$F$64)^(46-1),1_Assumptions!$F$69)*1_Assumptions!$F$109*3*(1+(Z31+Z32+Z33+Z34)*1_Assumptions!$F$67)+(Z25*Z30*1_Assumptions!$F$44*3+Z25*Z31*1_Assumptions!$F$45*3+Z25*Z32*1_Assumptions!$F$46*3+Z25*Z33*1_Assumptions!$F$47*3+Z25*Z34*1_Assumptions!$F$48*3)*1_Assumptions!$F$113+Z25*MIN(1_Assumptions!$F$59*(1+1_Assumptions!$F$65)^(46-1),1_Assumptions!$F$70)*1_Assumptions!$F$110*3*(1+(Z31+Z32+Z33+Z34)*1_Assumptions!$F$67)+(Z26*Z30*1_Assumptions!$F$51*3+Z26*Z31*1_Assumptions!$F$52*3+Z26*Z32*1_Assumptions!$F$53*3+Z26*Z33*1_Assumptions!$F$54*3+Z26*Z34*1_Assumptions!$F$55*3)*1_Assumptions!$F$114+Z26*MIN(1_Assumptions!$F$60*(1+1_Assumptions!$F$66)^(46-1),1_Assumptions!$F$71)*1_Assumptions!$F$111*3*(1+(Z31+Z32+Z33+Z34)*1_Assumptions!$F$67)</f>
        <v/>
      </c>
      <c r="AA71" s="242">
        <f>(AA24*AA30*1_Assumptions!$F$37*3+AA24*AA31*1_Assumptions!$F$38*3+AA24*AA32*1_Assumptions!$F$39*3+AA24*AA33*1_Assumptions!$F$40*3+AA24*AA34*1_Assumptions!$F$41*3)*1_Assumptions!$F$112+AA24*MIN(1_Assumptions!$F$58*(1+1_Assumptions!$F$64)^(49-1),1_Assumptions!$F$69)*1_Assumptions!$F$109*3*(1+(AA31+AA32+AA33+AA34)*1_Assumptions!$F$67)+(AA25*AA30*1_Assumptions!$F$44*3+AA25*AA31*1_Assumptions!$F$45*3+AA25*AA32*1_Assumptions!$F$46*3+AA25*AA33*1_Assumptions!$F$47*3+AA25*AA34*1_Assumptions!$F$48*3)*1_Assumptions!$F$113+AA25*MIN(1_Assumptions!$F$59*(1+1_Assumptions!$F$65)^(49-1),1_Assumptions!$F$70)*1_Assumptions!$F$110*3*(1+(AA31+AA32+AA33+AA34)*1_Assumptions!$F$67)+(AA26*AA30*1_Assumptions!$F$51*3+AA26*AA31*1_Assumptions!$F$52*3+AA26*AA32*1_Assumptions!$F$53*3+AA26*AA33*1_Assumptions!$F$54*3+AA26*AA34*1_Assumptions!$F$55*3)*1_Assumptions!$F$114+AA26*MIN(1_Assumptions!$F$60*(1+1_Assumptions!$F$66)^(49-1),1_Assumptions!$F$71)*1_Assumptions!$F$111*3*(1+(AA31+AA32+AA33+AA34)*1_Assumptions!$F$67)</f>
        <v/>
      </c>
      <c r="AB71" s="242">
        <f>(AB24*AB30*1_Assumptions!$F$37*3+AB24*AB31*1_Assumptions!$F$38*3+AB24*AB32*1_Assumptions!$F$39*3+AB24*AB33*1_Assumptions!$F$40*3+AB24*AB34*1_Assumptions!$F$41*3)*1_Assumptions!$F$112+AB24*MIN(1_Assumptions!$F$58*(1+1_Assumptions!$F$64)^(52-1),1_Assumptions!$F$69)*1_Assumptions!$F$109*3*(1+(AB31+AB32+AB33+AB34)*1_Assumptions!$F$67)+(AB25*AB30*1_Assumptions!$F$44*3+AB25*AB31*1_Assumptions!$F$45*3+AB25*AB32*1_Assumptions!$F$46*3+AB25*AB33*1_Assumptions!$F$47*3+AB25*AB34*1_Assumptions!$F$48*3)*1_Assumptions!$F$113+AB25*MIN(1_Assumptions!$F$59*(1+1_Assumptions!$F$65)^(52-1),1_Assumptions!$F$70)*1_Assumptions!$F$110*3*(1+(AB31+AB32+AB33+AB34)*1_Assumptions!$F$67)+(AB26*AB30*1_Assumptions!$F$51*3+AB26*AB31*1_Assumptions!$F$52*3+AB26*AB32*1_Assumptions!$F$53*3+AB26*AB33*1_Assumptions!$F$54*3+AB26*AB34*1_Assumptions!$F$55*3)*1_Assumptions!$F$114+AB26*MIN(1_Assumptions!$F$60*(1+1_Assumptions!$F$66)^(52-1),1_Assumptions!$F$71)*1_Assumptions!$F$111*3*(1+(AB31+AB32+AB33+AB34)*1_Assumptions!$F$67)</f>
        <v/>
      </c>
      <c r="AC71" s="242">
        <f>(AC24*AC30*1_Assumptions!$F$37*3+AC24*AC31*1_Assumptions!$F$38*3+AC24*AC32*1_Assumptions!$F$39*3+AC24*AC33*1_Assumptions!$F$40*3+AC24*AC34*1_Assumptions!$F$41*3)*1_Assumptions!$F$112+AC24*MIN(1_Assumptions!$F$58*(1+1_Assumptions!$F$64)^(55-1),1_Assumptions!$F$69)*1_Assumptions!$F$109*3*(1+(AC31+AC32+AC33+AC34)*1_Assumptions!$F$67)+(AC25*AC30*1_Assumptions!$F$44*3+AC25*AC31*1_Assumptions!$F$45*3+AC25*AC32*1_Assumptions!$F$46*3+AC25*AC33*1_Assumptions!$F$47*3+AC25*AC34*1_Assumptions!$F$48*3)*1_Assumptions!$F$113+AC25*MIN(1_Assumptions!$F$59*(1+1_Assumptions!$F$65)^(55-1),1_Assumptions!$F$70)*1_Assumptions!$F$110*3*(1+(AC31+AC32+AC33+AC34)*1_Assumptions!$F$67)+(AC26*AC30*1_Assumptions!$F$51*3+AC26*AC31*1_Assumptions!$F$52*3+AC26*AC32*1_Assumptions!$F$53*3+AC26*AC33*1_Assumptions!$F$54*3+AC26*AC34*1_Assumptions!$F$55*3)*1_Assumptions!$F$114+AC26*MIN(1_Assumptions!$F$60*(1+1_Assumptions!$F$66)^(55-1),1_Assumptions!$F$71)*1_Assumptions!$F$111*3*(1+(AC31+AC32+AC33+AC34)*1_Assumptions!$F$67)</f>
        <v/>
      </c>
    </row>
    <row r="72" ht="15" customHeight="1" s="160">
      <c r="A72" s="176" t="n"/>
      <c r="B72" s="177" t="inlineStr">
        <is>
          <t>COGS — Professional Services</t>
        </is>
      </c>
      <c r="C72" s="178" t="inlineStr">
        <is>
          <t>€</t>
        </is>
      </c>
      <c r="D72" s="176" t="n"/>
      <c r="E72" s="244">
        <f>E62*1_Assumptions!$F$116</f>
        <v/>
      </c>
      <c r="F72" s="244">
        <f>F62*1_Assumptions!$F$116</f>
        <v/>
      </c>
      <c r="G72" s="251">
        <f>G62*1_Assumptions!$F$116</f>
        <v/>
      </c>
      <c r="H72" s="244">
        <f>H62*1_Assumptions!$F$116</f>
        <v/>
      </c>
      <c r="I72" s="244">
        <f>I62*1_Assumptions!$F$116</f>
        <v/>
      </c>
      <c r="J72" s="244">
        <f>J62*1_Assumptions!$F$116</f>
        <v/>
      </c>
      <c r="K72" s="244">
        <f>K62*1_Assumptions!$F$116</f>
        <v/>
      </c>
      <c r="L72" s="244">
        <f>L62*1_Assumptions!$F$116</f>
        <v/>
      </c>
      <c r="M72" s="244">
        <f>M62*1_Assumptions!$F$116</f>
        <v/>
      </c>
      <c r="N72" s="244">
        <f>N62*1_Assumptions!$F$116</f>
        <v/>
      </c>
      <c r="O72" s="244">
        <f>O62*1_Assumptions!$F$116</f>
        <v/>
      </c>
      <c r="P72" s="244">
        <f>P62*1_Assumptions!$F$116</f>
        <v/>
      </c>
      <c r="Q72" s="244">
        <f>Q62*1_Assumptions!$F$116</f>
        <v/>
      </c>
      <c r="R72" s="244">
        <f>R62*1_Assumptions!$F$116</f>
        <v/>
      </c>
      <c r="S72" s="244">
        <f>S62*1_Assumptions!$F$116</f>
        <v/>
      </c>
      <c r="T72" s="244">
        <f>T62*1_Assumptions!$F$116</f>
        <v/>
      </c>
      <c r="U72" s="244">
        <f>U62*1_Assumptions!$F$116</f>
        <v/>
      </c>
      <c r="V72" s="244">
        <f>V62*1_Assumptions!$F$116</f>
        <v/>
      </c>
      <c r="W72" s="244">
        <f>W62*1_Assumptions!$F$116</f>
        <v/>
      </c>
      <c r="X72" s="244">
        <f>X62*1_Assumptions!$F$116</f>
        <v/>
      </c>
      <c r="Y72" s="244">
        <f>Y62*1_Assumptions!$F$116</f>
        <v/>
      </c>
      <c r="Z72" s="244">
        <f>Z62*1_Assumptions!$F$116</f>
        <v/>
      </c>
      <c r="AA72" s="244">
        <f>AA62*1_Assumptions!$F$116</f>
        <v/>
      </c>
      <c r="AB72" s="244">
        <f>AB62*1_Assumptions!$F$116</f>
        <v/>
      </c>
      <c r="AC72" s="244">
        <f>AC62*1_Assumptions!$F$116</f>
        <v/>
      </c>
    </row>
    <row r="73" ht="15" customHeight="1" s="160">
      <c r="A73" s="181" t="n"/>
      <c r="B73" s="182" t="inlineStr">
        <is>
          <t>COGS — Setup Fees (onboarding labor)</t>
        </is>
      </c>
      <c r="C73" s="183" t="inlineStr">
        <is>
          <t>€</t>
        </is>
      </c>
      <c r="D73" s="181" t="n"/>
      <c r="E73" s="242">
        <f>E42*1_Assumptions!$F$115</f>
        <v/>
      </c>
      <c r="F73" s="242">
        <f>F42*1_Assumptions!$F$115</f>
        <v/>
      </c>
      <c r="G73" s="252">
        <f>G42*1_Assumptions!$F$115</f>
        <v/>
      </c>
      <c r="H73" s="242">
        <f>H42*1_Assumptions!$F$115</f>
        <v/>
      </c>
      <c r="I73" s="242">
        <f>I42*1_Assumptions!$F$115</f>
        <v/>
      </c>
      <c r="J73" s="242">
        <f>J42*1_Assumptions!$F$115</f>
        <v/>
      </c>
      <c r="K73" s="242">
        <f>K42*1_Assumptions!$F$115</f>
        <v/>
      </c>
      <c r="L73" s="242">
        <f>L42*1_Assumptions!$F$115</f>
        <v/>
      </c>
      <c r="M73" s="242">
        <f>M42*1_Assumptions!$F$115</f>
        <v/>
      </c>
      <c r="N73" s="242">
        <f>N42*1_Assumptions!$F$115</f>
        <v/>
      </c>
      <c r="O73" s="242">
        <f>O42*1_Assumptions!$F$115</f>
        <v/>
      </c>
      <c r="P73" s="242">
        <f>P42*1_Assumptions!$F$115</f>
        <v/>
      </c>
      <c r="Q73" s="242">
        <f>Q42*1_Assumptions!$F$115</f>
        <v/>
      </c>
      <c r="R73" s="242">
        <f>R42*1_Assumptions!$F$115</f>
        <v/>
      </c>
      <c r="S73" s="242">
        <f>S42*1_Assumptions!$F$115</f>
        <v/>
      </c>
      <c r="T73" s="242">
        <f>T42*1_Assumptions!$F$115</f>
        <v/>
      </c>
      <c r="U73" s="242">
        <f>U42*1_Assumptions!$F$115</f>
        <v/>
      </c>
      <c r="V73" s="242">
        <f>V42*1_Assumptions!$F$115</f>
        <v/>
      </c>
      <c r="W73" s="242">
        <f>W42*1_Assumptions!$F$115</f>
        <v/>
      </c>
      <c r="X73" s="242">
        <f>X42*1_Assumptions!$F$115</f>
        <v/>
      </c>
      <c r="Y73" s="242">
        <f>Y42*1_Assumptions!$F$115</f>
        <v/>
      </c>
      <c r="Z73" s="242">
        <f>Z42*1_Assumptions!$F$115</f>
        <v/>
      </c>
      <c r="AA73" s="242">
        <f>AA42*1_Assumptions!$F$115</f>
        <v/>
      </c>
      <c r="AB73" s="242">
        <f>AB42*1_Assumptions!$F$115</f>
        <v/>
      </c>
      <c r="AC73" s="242">
        <f>AC42*1_Assumptions!$F$115</f>
        <v/>
      </c>
    </row>
    <row r="74" ht="15" customHeight="1" s="160">
      <c r="A74" s="176" t="n"/>
      <c r="B74" s="177" t="inlineStr">
        <is>
          <t>Total COGS</t>
        </is>
      </c>
      <c r="C74" s="178" t="inlineStr">
        <is>
          <t>€</t>
        </is>
      </c>
      <c r="D74" s="176" t="n"/>
      <c r="E74" s="244">
        <f>E71+E72+E73</f>
        <v/>
      </c>
      <c r="F74" s="244">
        <f>F71+F72+F73</f>
        <v/>
      </c>
      <c r="G74" s="244">
        <f>G71+G72+G73</f>
        <v/>
      </c>
      <c r="H74" s="244">
        <f>H71+H72+H73</f>
        <v/>
      </c>
      <c r="I74" s="244">
        <f>I71+I72+I73</f>
        <v/>
      </c>
      <c r="J74" s="244">
        <f>J71+J72+J73</f>
        <v/>
      </c>
      <c r="K74" s="244">
        <f>K71+K72+K73</f>
        <v/>
      </c>
      <c r="L74" s="244">
        <f>L71+L72+L73</f>
        <v/>
      </c>
      <c r="M74" s="244">
        <f>M71+M72+M73</f>
        <v/>
      </c>
      <c r="N74" s="244">
        <f>N71+N72+N73</f>
        <v/>
      </c>
      <c r="O74" s="244">
        <f>O71+O72+O73</f>
        <v/>
      </c>
      <c r="P74" s="244">
        <f>P71+P72+P73</f>
        <v/>
      </c>
      <c r="Q74" s="244">
        <f>Q71+Q72+Q73</f>
        <v/>
      </c>
      <c r="R74" s="244">
        <f>R71+R72+R73</f>
        <v/>
      </c>
      <c r="S74" s="244">
        <f>S71+S72+S73</f>
        <v/>
      </c>
      <c r="T74" s="244">
        <f>T71+T72+T73</f>
        <v/>
      </c>
      <c r="U74" s="244">
        <f>U71+U72+U73</f>
        <v/>
      </c>
      <c r="V74" s="244">
        <f>V71+V72+V73</f>
        <v/>
      </c>
      <c r="W74" s="244">
        <f>W71+W72+W73</f>
        <v/>
      </c>
      <c r="X74" s="244">
        <f>X71+X72+X73</f>
        <v/>
      </c>
      <c r="Y74" s="244">
        <f>Y71+Y72+Y73</f>
        <v/>
      </c>
      <c r="Z74" s="244">
        <f>Z71+Z72+Z73</f>
        <v/>
      </c>
      <c r="AA74" s="244">
        <f>AA71+AA72+AA73</f>
        <v/>
      </c>
      <c r="AB74" s="244">
        <f>AB71+AB72+AB73</f>
        <v/>
      </c>
      <c r="AC74" s="244">
        <f>AC71+AC72+AC73</f>
        <v/>
      </c>
    </row>
    <row r="75" ht="15" customHeight="1" s="160">
      <c r="A75" s="246" t="n"/>
      <c r="B75" s="247" t="inlineStr">
        <is>
          <t>Gross Profit</t>
        </is>
      </c>
      <c r="C75" s="248" t="inlineStr">
        <is>
          <t>€</t>
        </is>
      </c>
      <c r="D75" s="249" t="n"/>
      <c r="E75" s="249">
        <f>E68-E74</f>
        <v/>
      </c>
      <c r="F75" s="249">
        <f>F68-F74</f>
        <v/>
      </c>
      <c r="G75" s="249">
        <f>G68-G74</f>
        <v/>
      </c>
      <c r="H75" s="249">
        <f>H68-H74</f>
        <v/>
      </c>
      <c r="I75" s="249">
        <f>I68-I74</f>
        <v/>
      </c>
      <c r="J75" s="249">
        <f>J68-J74</f>
        <v/>
      </c>
      <c r="K75" s="249">
        <f>K68-K74</f>
        <v/>
      </c>
      <c r="L75" s="249">
        <f>L68-L74</f>
        <v/>
      </c>
      <c r="M75" s="249">
        <f>M68-M74</f>
        <v/>
      </c>
      <c r="N75" s="249">
        <f>N68-N74</f>
        <v/>
      </c>
      <c r="O75" s="249">
        <f>O68-O74</f>
        <v/>
      </c>
      <c r="P75" s="249">
        <f>P68-P74</f>
        <v/>
      </c>
      <c r="Q75" s="249">
        <f>Q68-Q74</f>
        <v/>
      </c>
      <c r="R75" s="249">
        <f>R68-R74</f>
        <v/>
      </c>
      <c r="S75" s="249">
        <f>S68-S74</f>
        <v/>
      </c>
      <c r="T75" s="249">
        <f>T68-T74</f>
        <v/>
      </c>
      <c r="U75" s="249">
        <f>U68-U74</f>
        <v/>
      </c>
      <c r="V75" s="249">
        <f>V68-V74</f>
        <v/>
      </c>
      <c r="W75" s="249">
        <f>W68-W74</f>
        <v/>
      </c>
      <c r="X75" s="249">
        <f>X68-X74</f>
        <v/>
      </c>
      <c r="Y75" s="249">
        <f>Y68-Y74</f>
        <v/>
      </c>
      <c r="Z75" s="249">
        <f>Z68-Z74</f>
        <v/>
      </c>
      <c r="AA75" s="249">
        <f>AA68-AA74</f>
        <v/>
      </c>
      <c r="AB75" s="249">
        <f>AB68-AB74</f>
        <v/>
      </c>
      <c r="AC75" s="249">
        <f>AC68-AC74</f>
        <v/>
      </c>
    </row>
    <row r="76" ht="15" customHeight="1" s="160">
      <c r="A76" s="176" t="n"/>
      <c r="B76" s="177" t="inlineStr">
        <is>
          <t>Gross Margin %</t>
        </is>
      </c>
      <c r="C76" s="178" t="inlineStr">
        <is>
          <t>%</t>
        </is>
      </c>
      <c r="D76" s="216" t="n"/>
      <c r="E76" s="202">
        <f>IFERROR(E75/E68,0)</f>
        <v/>
      </c>
      <c r="F76" s="202">
        <f>IFERROR(F75/F68,0)</f>
        <v/>
      </c>
      <c r="G76" s="202">
        <f>IFERROR(G75/G68,0)</f>
        <v/>
      </c>
      <c r="H76" s="202">
        <f>IFERROR(H75/H68,0)</f>
        <v/>
      </c>
      <c r="I76" s="202">
        <f>IFERROR(I75/I68,0)</f>
        <v/>
      </c>
      <c r="J76" s="202">
        <f>IFERROR(J75/J68,0)</f>
        <v/>
      </c>
      <c r="K76" s="202">
        <f>IFERROR(K75/K68,0)</f>
        <v/>
      </c>
      <c r="L76" s="202">
        <f>IFERROR(L75/L68,0)</f>
        <v/>
      </c>
      <c r="M76" s="202">
        <f>IFERROR(M75/M68,0)</f>
        <v/>
      </c>
      <c r="N76" s="202">
        <f>IFERROR(N75/N68,0)</f>
        <v/>
      </c>
      <c r="O76" s="202">
        <f>IFERROR(O75/O68,0)</f>
        <v/>
      </c>
      <c r="P76" s="202">
        <f>IFERROR(P75/P68,0)</f>
        <v/>
      </c>
      <c r="Q76" s="202">
        <f>IFERROR(Q75/Q68,0)</f>
        <v/>
      </c>
      <c r="R76" s="202">
        <f>IFERROR(R75/R68,0)</f>
        <v/>
      </c>
      <c r="S76" s="202">
        <f>IFERROR(S75/S68,0)</f>
        <v/>
      </c>
      <c r="T76" s="202">
        <f>IFERROR(T75/T68,0)</f>
        <v/>
      </c>
      <c r="U76" s="202">
        <f>IFERROR(U75/U68,0)</f>
        <v/>
      </c>
      <c r="V76" s="202">
        <f>IFERROR(V75/V68,0)</f>
        <v/>
      </c>
      <c r="W76" s="202">
        <f>IFERROR(W75/W68,0)</f>
        <v/>
      </c>
      <c r="X76" s="202">
        <f>IFERROR(X75/X68,0)</f>
        <v/>
      </c>
      <c r="Y76" s="202">
        <f>IFERROR(Y75/Y68,0)</f>
        <v/>
      </c>
      <c r="Z76" s="202">
        <f>IFERROR(Z75/Z68,0)</f>
        <v/>
      </c>
      <c r="AA76" s="202">
        <f>IFERROR(AA75/AA68,0)</f>
        <v/>
      </c>
      <c r="AB76" s="202">
        <f>IFERROR(AB75/AB68,0)</f>
        <v/>
      </c>
      <c r="AC76" s="202">
        <f>IFERROR(AC75/AC68,0)</f>
        <v/>
      </c>
    </row>
    <row r="78" ht="15" customHeight="1" s="160">
      <c r="A78" s="187" t="n"/>
      <c r="B78" s="188" t="inlineStr">
        <is>
          <t>J. OPERATING EXPENSES</t>
        </is>
      </c>
      <c r="C78" s="187" t="n"/>
      <c r="D78" s="187" t="n"/>
      <c r="E78" s="187" t="n"/>
      <c r="F78" s="187" t="n"/>
      <c r="G78" s="187" t="n"/>
      <c r="H78" s="187" t="n"/>
      <c r="I78" s="187" t="n"/>
      <c r="J78" s="187" t="n"/>
      <c r="K78" s="187" t="n"/>
      <c r="L78" s="187" t="n"/>
      <c r="M78" s="187" t="n"/>
      <c r="N78" s="187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7" t="n"/>
      <c r="Z78" s="187" t="n"/>
      <c r="AA78" s="187" t="n"/>
      <c r="AB78" s="187" t="n"/>
      <c r="AC78" s="187" t="n"/>
    </row>
    <row r="79" ht="15" customHeight="1" s="160">
      <c r="A79" s="181" t="n"/>
      <c r="B79" s="182" t="inlineStr">
        <is>
          <t>S&amp;M (MAX(floor, rev × ratio) + personnel)</t>
        </is>
      </c>
      <c r="C79" s="183" t="inlineStr">
        <is>
          <t>€</t>
        </is>
      </c>
      <c r="D79" s="181" t="n"/>
      <c r="E79" s="242">
        <f>MAX(1_Assumptions!$F$118*1,E68*(1_Assumptions!$F$119-(1_Assumptions!$F$119-1_Assumptions!$F$120)*MIN((1-1)/54,1)))+5_Headcount!E58</f>
        <v/>
      </c>
      <c r="F79" s="242">
        <f>MAX(1_Assumptions!$F$118*1,F68*(1_Assumptions!$F$119-(1_Assumptions!$F$119-1_Assumptions!$F$120)*MIN((2-1)/54,1)))+5_Headcount!F58</f>
        <v/>
      </c>
      <c r="G79" s="252">
        <f>MAX(1_Assumptions!$F$118*1,G68*(1_Assumptions!$F$119-(1_Assumptions!$F$119-1_Assumptions!$F$120)*MIN((3-1)/54,1)))+5_Headcount!G58</f>
        <v/>
      </c>
      <c r="H79" s="242">
        <f>MAX(1_Assumptions!$F$118*1,H68*(1_Assumptions!$F$119-(1_Assumptions!$F$119-1_Assumptions!$F$120)*MIN((4-1)/54,1)))+5_Headcount!H58</f>
        <v/>
      </c>
      <c r="I79" s="242">
        <f>MAX(1_Assumptions!$F$118*1,I68*(1_Assumptions!$F$119-(1_Assumptions!$F$119-1_Assumptions!$F$120)*MIN((5-1)/54,1)))+5_Headcount!I58</f>
        <v/>
      </c>
      <c r="J79" s="242">
        <f>MAX(1_Assumptions!$F$118*1,J68*(1_Assumptions!$F$119-(1_Assumptions!$F$119-1_Assumptions!$F$120)*MIN((6-1)/54,1)))+5_Headcount!J58</f>
        <v/>
      </c>
      <c r="K79" s="242">
        <f>MAX(1_Assumptions!$F$118*1,K68*(1_Assumptions!$F$119-(1_Assumptions!$F$119-1_Assumptions!$F$120)*MIN((7-1)/54,1)))+5_Headcount!K58</f>
        <v/>
      </c>
      <c r="L79" s="242">
        <f>MAX(1_Assumptions!$F$118*1,L68*(1_Assumptions!$F$119-(1_Assumptions!$F$119-1_Assumptions!$F$120)*MIN((8-1)/54,1)))+5_Headcount!L58</f>
        <v/>
      </c>
      <c r="M79" s="242">
        <f>MAX(1_Assumptions!$F$118*1,M68*(1_Assumptions!$F$119-(1_Assumptions!$F$119-1_Assumptions!$F$120)*MIN((9-1)/54,1)))+5_Headcount!M58</f>
        <v/>
      </c>
      <c r="N79" s="242">
        <f>MAX(1_Assumptions!$F$118*3,N68*(1_Assumptions!$F$119-(1_Assumptions!$F$119-1_Assumptions!$F$120)*MIN((10-1)/54,1)))+5_Headcount!N58</f>
        <v/>
      </c>
      <c r="O79" s="242">
        <f>MAX(1_Assumptions!$F$118*3,O68*(1_Assumptions!$F$119-(1_Assumptions!$F$119-1_Assumptions!$F$120)*MIN((13-1)/54,1)))+5_Headcount!O58</f>
        <v/>
      </c>
      <c r="P79" s="242">
        <f>MAX(1_Assumptions!$F$118*3,P68*(1_Assumptions!$F$119-(1_Assumptions!$F$119-1_Assumptions!$F$120)*MIN((16-1)/54,1)))+5_Headcount!P58</f>
        <v/>
      </c>
      <c r="Q79" s="242">
        <f>MAX(1_Assumptions!$F$118*3,Q68*(1_Assumptions!$F$119-(1_Assumptions!$F$119-1_Assumptions!$F$120)*MIN((19-1)/54,1)))+5_Headcount!Q58</f>
        <v/>
      </c>
      <c r="R79" s="242">
        <f>MAX(1_Assumptions!$F$118*3,R68*(1_Assumptions!$F$119-(1_Assumptions!$F$119-1_Assumptions!$F$120)*MIN((22-1)/54,1)))+5_Headcount!R58</f>
        <v/>
      </c>
      <c r="S79" s="242">
        <f>MAX(1_Assumptions!$F$118*3,S68*(1_Assumptions!$F$119-(1_Assumptions!$F$119-1_Assumptions!$F$120)*MIN((25-1)/54,1)))+5_Headcount!S58</f>
        <v/>
      </c>
      <c r="T79" s="242">
        <f>MAX(1_Assumptions!$F$118*3,T68*(1_Assumptions!$F$119-(1_Assumptions!$F$119-1_Assumptions!$F$120)*MIN((28-1)/54,1)))+5_Headcount!T58</f>
        <v/>
      </c>
      <c r="U79" s="242">
        <f>MAX(1_Assumptions!$F$118*3,U68*(1_Assumptions!$F$119-(1_Assumptions!$F$119-1_Assumptions!$F$120)*MIN((31-1)/54,1)))+5_Headcount!U58</f>
        <v/>
      </c>
      <c r="V79" s="242">
        <f>MAX(1_Assumptions!$F$118*3,V68*(1_Assumptions!$F$119-(1_Assumptions!$F$119-1_Assumptions!$F$120)*MIN((34-1)/54,1)))+5_Headcount!V58</f>
        <v/>
      </c>
      <c r="W79" s="242">
        <f>MAX(1_Assumptions!$F$118*3,W68*(1_Assumptions!$F$119-(1_Assumptions!$F$119-1_Assumptions!$F$120)*MIN((37-1)/54,1)))+5_Headcount!W58</f>
        <v/>
      </c>
      <c r="X79" s="242">
        <f>MAX(1_Assumptions!$F$118*3,X68*(1_Assumptions!$F$119-(1_Assumptions!$F$119-1_Assumptions!$F$120)*MIN((40-1)/54,1)))+5_Headcount!X58</f>
        <v/>
      </c>
      <c r="Y79" s="242">
        <f>MAX(1_Assumptions!$F$118*3,Y68*(1_Assumptions!$F$119-(1_Assumptions!$F$119-1_Assumptions!$F$120)*MIN((43-1)/54,1)))+5_Headcount!Y58</f>
        <v/>
      </c>
      <c r="Z79" s="242">
        <f>MAX(1_Assumptions!$F$118*3,Z68*(1_Assumptions!$F$119-(1_Assumptions!$F$119-1_Assumptions!$F$120)*MIN((46-1)/54,1)))+5_Headcount!Z58</f>
        <v/>
      </c>
      <c r="AA79" s="242">
        <f>MAX(1_Assumptions!$F$118*3,AA68*(1_Assumptions!$F$119-(1_Assumptions!$F$119-1_Assumptions!$F$120)*MIN((49-1)/54,1)))+5_Headcount!AA58</f>
        <v/>
      </c>
      <c r="AB79" s="242">
        <f>MAX(1_Assumptions!$F$118*3,AB68*(1_Assumptions!$F$119-(1_Assumptions!$F$119-1_Assumptions!$F$120)*MIN((52-1)/54,1)))+5_Headcount!AB58</f>
        <v/>
      </c>
      <c r="AC79" s="242">
        <f>MAX(1_Assumptions!$F$118*3,AC68*(1_Assumptions!$F$119-(1_Assumptions!$F$119-1_Assumptions!$F$120)*MIN((55-1)/54,1)))+5_Headcount!AC58</f>
        <v/>
      </c>
    </row>
    <row r="80" ht="15" customHeight="1" s="160">
      <c r="A80" s="176" t="n"/>
      <c r="B80" s="177" t="inlineStr">
        <is>
          <t>P&amp;E (MAX(floor, rev × ratio) + personnel)</t>
        </is>
      </c>
      <c r="C80" s="178" t="inlineStr">
        <is>
          <t>€</t>
        </is>
      </c>
      <c r="D80" s="176" t="n"/>
      <c r="E80" s="244">
        <f>MAX(1_Assumptions!$F$121*1,E68*(1_Assumptions!$F$122-(1_Assumptions!$F$122-1_Assumptions!$F$123)*MIN((1-1)/54,1)))+5_Headcount!E59</f>
        <v/>
      </c>
      <c r="F80" s="244">
        <f>MAX(1_Assumptions!$F$121*1,F68*(1_Assumptions!$F$122-(1_Assumptions!$F$122-1_Assumptions!$F$123)*MIN((2-1)/54,1)))+5_Headcount!F59</f>
        <v/>
      </c>
      <c r="G80" s="251">
        <f>MAX(1_Assumptions!$F$121*1,G68*(1_Assumptions!$F$122-(1_Assumptions!$F$122-1_Assumptions!$F$123)*MIN((3-1)/54,1)))+5_Headcount!G59</f>
        <v/>
      </c>
      <c r="H80" s="244">
        <f>MAX(1_Assumptions!$F$121*1,H68*(1_Assumptions!$F$122-(1_Assumptions!$F$122-1_Assumptions!$F$123)*MIN((4-1)/54,1)))+5_Headcount!H59</f>
        <v/>
      </c>
      <c r="I80" s="244">
        <f>MAX(1_Assumptions!$F$121*1,I68*(1_Assumptions!$F$122-(1_Assumptions!$F$122-1_Assumptions!$F$123)*MIN((5-1)/54,1)))+5_Headcount!I59</f>
        <v/>
      </c>
      <c r="J80" s="244">
        <f>MAX(1_Assumptions!$F$121*1,J68*(1_Assumptions!$F$122-(1_Assumptions!$F$122-1_Assumptions!$F$123)*MIN((6-1)/54,1)))+5_Headcount!J59</f>
        <v/>
      </c>
      <c r="K80" s="244">
        <f>MAX(1_Assumptions!$F$121*1,K68*(1_Assumptions!$F$122-(1_Assumptions!$F$122-1_Assumptions!$F$123)*MIN((7-1)/54,1)))+5_Headcount!K59</f>
        <v/>
      </c>
      <c r="L80" s="244">
        <f>MAX(1_Assumptions!$F$121*1,L68*(1_Assumptions!$F$122-(1_Assumptions!$F$122-1_Assumptions!$F$123)*MIN((8-1)/54,1)))+5_Headcount!L59</f>
        <v/>
      </c>
      <c r="M80" s="244">
        <f>MAX(1_Assumptions!$F$121*1,M68*(1_Assumptions!$F$122-(1_Assumptions!$F$122-1_Assumptions!$F$123)*MIN((9-1)/54,1)))+5_Headcount!M59</f>
        <v/>
      </c>
      <c r="N80" s="244">
        <f>MAX(1_Assumptions!$F$121*3,N68*(1_Assumptions!$F$122-(1_Assumptions!$F$122-1_Assumptions!$F$123)*MIN((10-1)/54,1)))+5_Headcount!N59</f>
        <v/>
      </c>
      <c r="O80" s="244">
        <f>MAX(1_Assumptions!$F$121*3,O68*(1_Assumptions!$F$122-(1_Assumptions!$F$122-1_Assumptions!$F$123)*MIN((13-1)/54,1)))+5_Headcount!O59</f>
        <v/>
      </c>
      <c r="P80" s="244">
        <f>MAX(1_Assumptions!$F$121*3,P68*(1_Assumptions!$F$122-(1_Assumptions!$F$122-1_Assumptions!$F$123)*MIN((16-1)/54,1)))+5_Headcount!P59</f>
        <v/>
      </c>
      <c r="Q80" s="244">
        <f>MAX(1_Assumptions!$F$121*3,Q68*(1_Assumptions!$F$122-(1_Assumptions!$F$122-1_Assumptions!$F$123)*MIN((19-1)/54,1)))+5_Headcount!Q59</f>
        <v/>
      </c>
      <c r="R80" s="244">
        <f>MAX(1_Assumptions!$F$121*3,R68*(1_Assumptions!$F$122-(1_Assumptions!$F$122-1_Assumptions!$F$123)*MIN((22-1)/54,1)))+5_Headcount!R59</f>
        <v/>
      </c>
      <c r="S80" s="244">
        <f>MAX(1_Assumptions!$F$121*3,S68*(1_Assumptions!$F$122-(1_Assumptions!$F$122-1_Assumptions!$F$123)*MIN((25-1)/54,1)))+5_Headcount!S59</f>
        <v/>
      </c>
      <c r="T80" s="244">
        <f>MAX(1_Assumptions!$F$121*3,T68*(1_Assumptions!$F$122-(1_Assumptions!$F$122-1_Assumptions!$F$123)*MIN((28-1)/54,1)))+5_Headcount!T59</f>
        <v/>
      </c>
      <c r="U80" s="244">
        <f>MAX(1_Assumptions!$F$121*3,U68*(1_Assumptions!$F$122-(1_Assumptions!$F$122-1_Assumptions!$F$123)*MIN((31-1)/54,1)))+5_Headcount!U59</f>
        <v/>
      </c>
      <c r="V80" s="244">
        <f>MAX(1_Assumptions!$F$121*3,V68*(1_Assumptions!$F$122-(1_Assumptions!$F$122-1_Assumptions!$F$123)*MIN((34-1)/54,1)))+5_Headcount!V59</f>
        <v/>
      </c>
      <c r="W80" s="244">
        <f>MAX(1_Assumptions!$F$121*3,W68*(1_Assumptions!$F$122-(1_Assumptions!$F$122-1_Assumptions!$F$123)*MIN((37-1)/54,1)))+5_Headcount!W59</f>
        <v/>
      </c>
      <c r="X80" s="244">
        <f>MAX(1_Assumptions!$F$121*3,X68*(1_Assumptions!$F$122-(1_Assumptions!$F$122-1_Assumptions!$F$123)*MIN((40-1)/54,1)))+5_Headcount!X59</f>
        <v/>
      </c>
      <c r="Y80" s="244">
        <f>MAX(1_Assumptions!$F$121*3,Y68*(1_Assumptions!$F$122-(1_Assumptions!$F$122-1_Assumptions!$F$123)*MIN((43-1)/54,1)))+5_Headcount!Y59</f>
        <v/>
      </c>
      <c r="Z80" s="244">
        <f>MAX(1_Assumptions!$F$121*3,Z68*(1_Assumptions!$F$122-(1_Assumptions!$F$122-1_Assumptions!$F$123)*MIN((46-1)/54,1)))+5_Headcount!Z59</f>
        <v/>
      </c>
      <c r="AA80" s="244">
        <f>MAX(1_Assumptions!$F$121*3,AA68*(1_Assumptions!$F$122-(1_Assumptions!$F$122-1_Assumptions!$F$123)*MIN((49-1)/54,1)))+5_Headcount!AA59</f>
        <v/>
      </c>
      <c r="AB80" s="244">
        <f>MAX(1_Assumptions!$F$121*3,AB68*(1_Assumptions!$F$122-(1_Assumptions!$F$122-1_Assumptions!$F$123)*MIN((52-1)/54,1)))+5_Headcount!AB59</f>
        <v/>
      </c>
      <c r="AC80" s="244">
        <f>MAX(1_Assumptions!$F$121*3,AC68*(1_Assumptions!$F$122-(1_Assumptions!$F$122-1_Assumptions!$F$123)*MIN((55-1)/54,1)))+5_Headcount!AC59</f>
        <v/>
      </c>
    </row>
    <row r="81" ht="15" customHeight="1" s="160">
      <c r="A81" s="181" t="n"/>
      <c r="B81" s="182" t="inlineStr">
        <is>
          <t>G&amp;A (MAX(floor, rev × ratio) + personnel)</t>
        </is>
      </c>
      <c r="C81" s="183" t="inlineStr">
        <is>
          <t>€</t>
        </is>
      </c>
      <c r="D81" s="181" t="n"/>
      <c r="E81" s="242">
        <f>MAX(1_Assumptions!$F$124*1,E68*(1_Assumptions!$F$125-(1_Assumptions!$F$125-1_Assumptions!$F$126)*MIN((1-1)/54,1)))+5_Headcount!E60</f>
        <v/>
      </c>
      <c r="F81" s="242">
        <f>MAX(1_Assumptions!$F$124*1,F68*(1_Assumptions!$F$125-(1_Assumptions!$F$125-1_Assumptions!$F$126)*MIN((2-1)/54,1)))+5_Headcount!F60</f>
        <v/>
      </c>
      <c r="G81" s="252">
        <f>MAX(1_Assumptions!$F$124*1,G68*(1_Assumptions!$F$125-(1_Assumptions!$F$125-1_Assumptions!$F$126)*MIN((3-1)/54,1)))+5_Headcount!G60</f>
        <v/>
      </c>
      <c r="H81" s="242">
        <f>MAX(1_Assumptions!$F$124*1,H68*(1_Assumptions!$F$125-(1_Assumptions!$F$125-1_Assumptions!$F$126)*MIN((4-1)/54,1)))+5_Headcount!H60</f>
        <v/>
      </c>
      <c r="I81" s="242">
        <f>MAX(1_Assumptions!$F$124*1,I68*(1_Assumptions!$F$125-(1_Assumptions!$F$125-1_Assumptions!$F$126)*MIN((5-1)/54,1)))+5_Headcount!I60</f>
        <v/>
      </c>
      <c r="J81" s="242">
        <f>MAX(1_Assumptions!$F$124*1,J68*(1_Assumptions!$F$125-(1_Assumptions!$F$125-1_Assumptions!$F$126)*MIN((6-1)/54,1)))+5_Headcount!J60</f>
        <v/>
      </c>
      <c r="K81" s="242">
        <f>MAX(1_Assumptions!$F$124*1,K68*(1_Assumptions!$F$125-(1_Assumptions!$F$125-1_Assumptions!$F$126)*MIN((7-1)/54,1)))+5_Headcount!K60</f>
        <v/>
      </c>
      <c r="L81" s="242">
        <f>MAX(1_Assumptions!$F$124*1,L68*(1_Assumptions!$F$125-(1_Assumptions!$F$125-1_Assumptions!$F$126)*MIN((8-1)/54,1)))+5_Headcount!L60</f>
        <v/>
      </c>
      <c r="M81" s="242">
        <f>MAX(1_Assumptions!$F$124*1,M68*(1_Assumptions!$F$125-(1_Assumptions!$F$125-1_Assumptions!$F$126)*MIN((9-1)/54,1)))+5_Headcount!M60</f>
        <v/>
      </c>
      <c r="N81" s="242">
        <f>MAX(1_Assumptions!$F$124*3,N68*(1_Assumptions!$F$125-(1_Assumptions!$F$125-1_Assumptions!$F$126)*MIN((10-1)/54,1)))+5_Headcount!N60</f>
        <v/>
      </c>
      <c r="O81" s="242">
        <f>MAX(1_Assumptions!$F$124*3,O68*(1_Assumptions!$F$125-(1_Assumptions!$F$125-1_Assumptions!$F$126)*MIN((13-1)/54,1)))+5_Headcount!O60</f>
        <v/>
      </c>
      <c r="P81" s="242">
        <f>MAX(1_Assumptions!$F$124*3,P68*(1_Assumptions!$F$125-(1_Assumptions!$F$125-1_Assumptions!$F$126)*MIN((16-1)/54,1)))+5_Headcount!P60</f>
        <v/>
      </c>
      <c r="Q81" s="242">
        <f>MAX(1_Assumptions!$F$124*3,Q68*(1_Assumptions!$F$125-(1_Assumptions!$F$125-1_Assumptions!$F$126)*MIN((19-1)/54,1)))+5_Headcount!Q60</f>
        <v/>
      </c>
      <c r="R81" s="242">
        <f>MAX(1_Assumptions!$F$124*3,R68*(1_Assumptions!$F$125-(1_Assumptions!$F$125-1_Assumptions!$F$126)*MIN((22-1)/54,1)))+5_Headcount!R60</f>
        <v/>
      </c>
      <c r="S81" s="242">
        <f>MAX(1_Assumptions!$F$124*3,S68*(1_Assumptions!$F$125-(1_Assumptions!$F$125-1_Assumptions!$F$126)*MIN((25-1)/54,1)))+5_Headcount!S60</f>
        <v/>
      </c>
      <c r="T81" s="242">
        <f>MAX(1_Assumptions!$F$124*3,T68*(1_Assumptions!$F$125-(1_Assumptions!$F$125-1_Assumptions!$F$126)*MIN((28-1)/54,1)))+5_Headcount!T60</f>
        <v/>
      </c>
      <c r="U81" s="242">
        <f>MAX(1_Assumptions!$F$124*3,U68*(1_Assumptions!$F$125-(1_Assumptions!$F$125-1_Assumptions!$F$126)*MIN((31-1)/54,1)))+5_Headcount!U60</f>
        <v/>
      </c>
      <c r="V81" s="242">
        <f>MAX(1_Assumptions!$F$124*3,V68*(1_Assumptions!$F$125-(1_Assumptions!$F$125-1_Assumptions!$F$126)*MIN((34-1)/54,1)))+5_Headcount!V60</f>
        <v/>
      </c>
      <c r="W81" s="242">
        <f>MAX(1_Assumptions!$F$124*3,W68*(1_Assumptions!$F$125-(1_Assumptions!$F$125-1_Assumptions!$F$126)*MIN((37-1)/54,1)))+5_Headcount!W60</f>
        <v/>
      </c>
      <c r="X81" s="242">
        <f>MAX(1_Assumptions!$F$124*3,X68*(1_Assumptions!$F$125-(1_Assumptions!$F$125-1_Assumptions!$F$126)*MIN((40-1)/54,1)))+5_Headcount!X60</f>
        <v/>
      </c>
      <c r="Y81" s="242">
        <f>MAX(1_Assumptions!$F$124*3,Y68*(1_Assumptions!$F$125-(1_Assumptions!$F$125-1_Assumptions!$F$126)*MIN((43-1)/54,1)))+5_Headcount!Y60</f>
        <v/>
      </c>
      <c r="Z81" s="242">
        <f>MAX(1_Assumptions!$F$124*3,Z68*(1_Assumptions!$F$125-(1_Assumptions!$F$125-1_Assumptions!$F$126)*MIN((46-1)/54,1)))+5_Headcount!Z60</f>
        <v/>
      </c>
      <c r="AA81" s="242">
        <f>MAX(1_Assumptions!$F$124*3,AA68*(1_Assumptions!$F$125-(1_Assumptions!$F$125-1_Assumptions!$F$126)*MIN((49-1)/54,1)))+5_Headcount!AA60</f>
        <v/>
      </c>
      <c r="AB81" s="242">
        <f>MAX(1_Assumptions!$F$124*3,AB68*(1_Assumptions!$F$125-(1_Assumptions!$F$125-1_Assumptions!$F$126)*MIN((52-1)/54,1)))+5_Headcount!AB60</f>
        <v/>
      </c>
      <c r="AC81" s="242">
        <f>MAX(1_Assumptions!$F$124*3,AC68*(1_Assumptions!$F$125-(1_Assumptions!$F$125-1_Assumptions!$F$126)*MIN((55-1)/54,1)))+5_Headcount!AC60</f>
        <v/>
      </c>
    </row>
    <row r="82" ht="15" customHeight="1" s="160">
      <c r="A82" s="176" t="n"/>
      <c r="B82" s="177" t="inlineStr">
        <is>
          <t>Total OpEx</t>
        </is>
      </c>
      <c r="C82" s="178" t="inlineStr">
        <is>
          <t>€</t>
        </is>
      </c>
      <c r="D82" s="176" t="n"/>
      <c r="E82" s="244">
        <f>E79+E80+E81</f>
        <v/>
      </c>
      <c r="F82" s="244">
        <f>F79+F80+F81</f>
        <v/>
      </c>
      <c r="G82" s="244">
        <f>G79+G80+G81</f>
        <v/>
      </c>
      <c r="H82" s="244">
        <f>H79+H80+H81</f>
        <v/>
      </c>
      <c r="I82" s="244">
        <f>I79+I80+I81</f>
        <v/>
      </c>
      <c r="J82" s="244">
        <f>J79+J80+J81</f>
        <v/>
      </c>
      <c r="K82" s="244">
        <f>K79+K80+K81</f>
        <v/>
      </c>
      <c r="L82" s="244">
        <f>L79+L80+L81</f>
        <v/>
      </c>
      <c r="M82" s="244">
        <f>M79+M80+M81</f>
        <v/>
      </c>
      <c r="N82" s="244">
        <f>N79+N80+N81</f>
        <v/>
      </c>
      <c r="O82" s="244">
        <f>O79+O80+O81</f>
        <v/>
      </c>
      <c r="P82" s="244">
        <f>P79+P80+P81</f>
        <v/>
      </c>
      <c r="Q82" s="244">
        <f>Q79+Q80+Q81</f>
        <v/>
      </c>
      <c r="R82" s="244">
        <f>R79+R80+R81</f>
        <v/>
      </c>
      <c r="S82" s="244">
        <f>S79+S80+S81</f>
        <v/>
      </c>
      <c r="T82" s="244">
        <f>T79+T80+T81</f>
        <v/>
      </c>
      <c r="U82" s="244">
        <f>U79+U80+U81</f>
        <v/>
      </c>
      <c r="V82" s="244">
        <f>V79+V80+V81</f>
        <v/>
      </c>
      <c r="W82" s="244">
        <f>W79+W80+W81</f>
        <v/>
      </c>
      <c r="X82" s="244">
        <f>X79+X80+X81</f>
        <v/>
      </c>
      <c r="Y82" s="244">
        <f>Y79+Y80+Y81</f>
        <v/>
      </c>
      <c r="Z82" s="244">
        <f>Z79+Z80+Z81</f>
        <v/>
      </c>
      <c r="AA82" s="244">
        <f>AA79+AA80+AA81</f>
        <v/>
      </c>
      <c r="AB82" s="244">
        <f>AB79+AB80+AB81</f>
        <v/>
      </c>
      <c r="AC82" s="244">
        <f>AC79+AC80+AC81</f>
        <v/>
      </c>
    </row>
    <row r="84" ht="15" customHeight="1" s="160">
      <c r="A84" s="187" t="n"/>
      <c r="B84" s="188" t="inlineStr">
        <is>
          <t>K. EBITDA → EBIT → NOPAT (Net Operating Profit After Tax)</t>
        </is>
      </c>
      <c r="C84" s="187" t="n"/>
      <c r="D84" s="187" t="n"/>
      <c r="E84" s="187" t="n"/>
      <c r="F84" s="187" t="n"/>
      <c r="G84" s="187" t="n"/>
      <c r="H84" s="187" t="n"/>
      <c r="I84" s="187" t="n"/>
      <c r="J84" s="187" t="n"/>
      <c r="K84" s="187" t="n"/>
      <c r="L84" s="187" t="n"/>
      <c r="M84" s="187" t="n"/>
      <c r="N84" s="187" t="n"/>
      <c r="O84" s="187" t="n"/>
      <c r="P84" s="187" t="n"/>
      <c r="Q84" s="187" t="n"/>
      <c r="R84" s="187" t="n"/>
      <c r="S84" s="187" t="n"/>
      <c r="T84" s="187" t="n"/>
      <c r="U84" s="187" t="n"/>
      <c r="V84" s="187" t="n"/>
      <c r="W84" s="187" t="n"/>
      <c r="X84" s="187" t="n"/>
      <c r="Y84" s="187" t="n"/>
      <c r="Z84" s="187" t="n"/>
      <c r="AA84" s="187" t="n"/>
      <c r="AB84" s="187" t="n"/>
      <c r="AC84" s="187" t="n"/>
    </row>
    <row r="85" ht="15" customHeight="1" s="160">
      <c r="A85" s="246" t="n"/>
      <c r="B85" s="247" t="inlineStr">
        <is>
          <t>EBITDA</t>
        </is>
      </c>
      <c r="C85" s="248" t="inlineStr">
        <is>
          <t>€</t>
        </is>
      </c>
      <c r="D85" s="249" t="n"/>
      <c r="E85" s="249">
        <f>E75-E82</f>
        <v/>
      </c>
      <c r="F85" s="249">
        <f>F75-F82</f>
        <v/>
      </c>
      <c r="G85" s="249">
        <f>G75-G82</f>
        <v/>
      </c>
      <c r="H85" s="249">
        <f>H75-H82</f>
        <v/>
      </c>
      <c r="I85" s="249">
        <f>I75-I82</f>
        <v/>
      </c>
      <c r="J85" s="249">
        <f>J75-J82</f>
        <v/>
      </c>
      <c r="K85" s="249">
        <f>K75-K82</f>
        <v/>
      </c>
      <c r="L85" s="249">
        <f>L75-L82</f>
        <v/>
      </c>
      <c r="M85" s="249">
        <f>M75-M82</f>
        <v/>
      </c>
      <c r="N85" s="249">
        <f>N75-N82</f>
        <v/>
      </c>
      <c r="O85" s="249">
        <f>O75-O82</f>
        <v/>
      </c>
      <c r="P85" s="249">
        <f>P75-P82</f>
        <v/>
      </c>
      <c r="Q85" s="249">
        <f>Q75-Q82</f>
        <v/>
      </c>
      <c r="R85" s="249">
        <f>R75-R82</f>
        <v/>
      </c>
      <c r="S85" s="249">
        <f>S75-S82</f>
        <v/>
      </c>
      <c r="T85" s="249">
        <f>T75-T82</f>
        <v/>
      </c>
      <c r="U85" s="249">
        <f>U75-U82</f>
        <v/>
      </c>
      <c r="V85" s="249">
        <f>V75-V82</f>
        <v/>
      </c>
      <c r="W85" s="249">
        <f>W75-W82</f>
        <v/>
      </c>
      <c r="X85" s="249">
        <f>X75-X82</f>
        <v/>
      </c>
      <c r="Y85" s="249">
        <f>Y75-Y82</f>
        <v/>
      </c>
      <c r="Z85" s="249">
        <f>Z75-Z82</f>
        <v/>
      </c>
      <c r="AA85" s="249">
        <f>AA75-AA82</f>
        <v/>
      </c>
      <c r="AB85" s="249">
        <f>AB75-AB82</f>
        <v/>
      </c>
      <c r="AC85" s="249">
        <f>AC75-AC82</f>
        <v/>
      </c>
    </row>
    <row r="86" ht="15" customHeight="1" s="160">
      <c r="A86" s="246" t="n"/>
      <c r="B86" s="247" t="inlineStr">
        <is>
          <t>EBITDA Margin %</t>
        </is>
      </c>
      <c r="C86" s="248" t="inlineStr">
        <is>
          <t>%</t>
        </is>
      </c>
      <c r="D86" s="253" t="n"/>
      <c r="E86" s="253">
        <f>IFERROR(E85/E68,0)</f>
        <v/>
      </c>
      <c r="F86" s="253">
        <f>IFERROR(F85/F68,0)</f>
        <v/>
      </c>
      <c r="G86" s="253">
        <f>IFERROR(G85/G68,0)</f>
        <v/>
      </c>
      <c r="H86" s="253">
        <f>IFERROR(H85/H68,0)</f>
        <v/>
      </c>
      <c r="I86" s="253">
        <f>IFERROR(I85/I68,0)</f>
        <v/>
      </c>
      <c r="J86" s="253">
        <f>IFERROR(J85/J68,0)</f>
        <v/>
      </c>
      <c r="K86" s="253">
        <f>IFERROR(K85/K68,0)</f>
        <v/>
      </c>
      <c r="L86" s="253">
        <f>IFERROR(L85/L68,0)</f>
        <v/>
      </c>
      <c r="M86" s="253">
        <f>IFERROR(M85/M68,0)</f>
        <v/>
      </c>
      <c r="N86" s="253">
        <f>IFERROR(N85/N68,0)</f>
        <v/>
      </c>
      <c r="O86" s="253">
        <f>IFERROR(O85/O68,0)</f>
        <v/>
      </c>
      <c r="P86" s="253">
        <f>IFERROR(P85/P68,0)</f>
        <v/>
      </c>
      <c r="Q86" s="253">
        <f>IFERROR(Q85/Q68,0)</f>
        <v/>
      </c>
      <c r="R86" s="253">
        <f>IFERROR(R85/R68,0)</f>
        <v/>
      </c>
      <c r="S86" s="253">
        <f>IFERROR(S85/S68,0)</f>
        <v/>
      </c>
      <c r="T86" s="253">
        <f>IFERROR(T85/T68,0)</f>
        <v/>
      </c>
      <c r="U86" s="253">
        <f>IFERROR(U85/U68,0)</f>
        <v/>
      </c>
      <c r="V86" s="253">
        <f>IFERROR(V85/V68,0)</f>
        <v/>
      </c>
      <c r="W86" s="253">
        <f>IFERROR(W85/W68,0)</f>
        <v/>
      </c>
      <c r="X86" s="253">
        <f>IFERROR(X85/X68,0)</f>
        <v/>
      </c>
      <c r="Y86" s="253">
        <f>IFERROR(Y85/Y68,0)</f>
        <v/>
      </c>
      <c r="Z86" s="253">
        <f>IFERROR(Z85/Z68,0)</f>
        <v/>
      </c>
      <c r="AA86" s="253">
        <f>IFERROR(AA85/AA68,0)</f>
        <v/>
      </c>
      <c r="AB86" s="253">
        <f>IFERROR(AB85/AB68,0)</f>
        <v/>
      </c>
      <c r="AC86" s="253">
        <f>IFERROR(AC85/AC68,0)</f>
        <v/>
      </c>
    </row>
    <row r="87" ht="15" customHeight="1" s="160">
      <c r="A87" s="181" t="n"/>
      <c r="B87" s="182" t="inlineStr">
        <is>
          <t>Depreciation &amp; Amortisation</t>
        </is>
      </c>
      <c r="C87" s="183" t="inlineStr">
        <is>
          <t>€</t>
        </is>
      </c>
      <c r="D87" s="181" t="n"/>
      <c r="E87" s="242">
        <f>1_Assumptions!$F$141*1</f>
        <v/>
      </c>
      <c r="F87" s="242">
        <f>1_Assumptions!$F$141*1</f>
        <v/>
      </c>
      <c r="G87" s="252">
        <f>1_Assumptions!$F$141*1</f>
        <v/>
      </c>
      <c r="H87" s="242">
        <f>1_Assumptions!$F$141*1</f>
        <v/>
      </c>
      <c r="I87" s="242">
        <f>1_Assumptions!$F$141*1</f>
        <v/>
      </c>
      <c r="J87" s="242">
        <f>1_Assumptions!$F$141*1</f>
        <v/>
      </c>
      <c r="K87" s="242">
        <f>1_Assumptions!$F$141*1</f>
        <v/>
      </c>
      <c r="L87" s="242">
        <f>1_Assumptions!$F$141*1</f>
        <v/>
      </c>
      <c r="M87" s="242">
        <f>1_Assumptions!$F$141*1</f>
        <v/>
      </c>
      <c r="N87" s="242">
        <f>1_Assumptions!$F$141*3</f>
        <v/>
      </c>
      <c r="O87" s="242">
        <f>1_Assumptions!$F$141*3</f>
        <v/>
      </c>
      <c r="P87" s="242">
        <f>1_Assumptions!$F$141*3</f>
        <v/>
      </c>
      <c r="Q87" s="242">
        <f>1_Assumptions!$F$141*3</f>
        <v/>
      </c>
      <c r="R87" s="242">
        <f>1_Assumptions!$F$141*3</f>
        <v/>
      </c>
      <c r="S87" s="242">
        <f>1_Assumptions!$F$141*3</f>
        <v/>
      </c>
      <c r="T87" s="242">
        <f>1_Assumptions!$F$141*3</f>
        <v/>
      </c>
      <c r="U87" s="242">
        <f>1_Assumptions!$F$141*3</f>
        <v/>
      </c>
      <c r="V87" s="242">
        <f>1_Assumptions!$F$141*3</f>
        <v/>
      </c>
      <c r="W87" s="242">
        <f>1_Assumptions!$F$141*3</f>
        <v/>
      </c>
      <c r="X87" s="242">
        <f>1_Assumptions!$F$141*3</f>
        <v/>
      </c>
      <c r="Y87" s="242">
        <f>1_Assumptions!$F$141*3</f>
        <v/>
      </c>
      <c r="Z87" s="242">
        <f>1_Assumptions!$F$141*3</f>
        <v/>
      </c>
      <c r="AA87" s="242">
        <f>1_Assumptions!$F$141*3</f>
        <v/>
      </c>
      <c r="AB87" s="242">
        <f>1_Assumptions!$F$141*3</f>
        <v/>
      </c>
      <c r="AC87" s="242">
        <f>1_Assumptions!$F$141*3</f>
        <v/>
      </c>
    </row>
    <row r="88" ht="15" customHeight="1" s="160">
      <c r="A88" s="246" t="n"/>
      <c r="B88" s="247" t="inlineStr">
        <is>
          <t>EBIT (Earnings Before Interest &amp; Tax)</t>
        </is>
      </c>
      <c r="C88" s="248" t="inlineStr">
        <is>
          <t>€</t>
        </is>
      </c>
      <c r="D88" s="249" t="n"/>
      <c r="E88" s="249">
        <f>E85-E87</f>
        <v/>
      </c>
      <c r="F88" s="249">
        <f>F85-F87</f>
        <v/>
      </c>
      <c r="G88" s="249">
        <f>G85-G87</f>
        <v/>
      </c>
      <c r="H88" s="249">
        <f>H85-H87</f>
        <v/>
      </c>
      <c r="I88" s="249">
        <f>I85-I87</f>
        <v/>
      </c>
      <c r="J88" s="249">
        <f>J85-J87</f>
        <v/>
      </c>
      <c r="K88" s="249">
        <f>K85-K87</f>
        <v/>
      </c>
      <c r="L88" s="249">
        <f>L85-L87</f>
        <v/>
      </c>
      <c r="M88" s="249">
        <f>M85-M87</f>
        <v/>
      </c>
      <c r="N88" s="249">
        <f>N85-N87</f>
        <v/>
      </c>
      <c r="O88" s="249">
        <f>O85-O87</f>
        <v/>
      </c>
      <c r="P88" s="249">
        <f>P85-P87</f>
        <v/>
      </c>
      <c r="Q88" s="249">
        <f>Q85-Q87</f>
        <v/>
      </c>
      <c r="R88" s="249">
        <f>R85-R87</f>
        <v/>
      </c>
      <c r="S88" s="249">
        <f>S85-S87</f>
        <v/>
      </c>
      <c r="T88" s="249">
        <f>T85-T87</f>
        <v/>
      </c>
      <c r="U88" s="249">
        <f>U85-U87</f>
        <v/>
      </c>
      <c r="V88" s="249">
        <f>V85-V87</f>
        <v/>
      </c>
      <c r="W88" s="249">
        <f>W85-W87</f>
        <v/>
      </c>
      <c r="X88" s="249">
        <f>X85-X87</f>
        <v/>
      </c>
      <c r="Y88" s="249">
        <f>Y85-Y87</f>
        <v/>
      </c>
      <c r="Z88" s="249">
        <f>Z85-Z87</f>
        <v/>
      </c>
      <c r="AA88" s="249">
        <f>AA85-AA87</f>
        <v/>
      </c>
      <c r="AB88" s="249">
        <f>AB85-AB87</f>
        <v/>
      </c>
      <c r="AC88" s="249">
        <f>AC85-AC87</f>
        <v/>
      </c>
    </row>
    <row r="89" ht="15" customHeight="1" s="160">
      <c r="A89" s="246" t="n"/>
      <c r="B89" s="247" t="inlineStr">
        <is>
          <t>Taxes (25%, with loss carry-forward)</t>
        </is>
      </c>
      <c r="C89" s="248" t="inlineStr">
        <is>
          <t>€</t>
        </is>
      </c>
      <c r="D89" s="253" t="n"/>
      <c r="E89" s="253">
        <f>MAX(0,MAX(0,SUM($E$88:E88))*1_Assumptions!$F$140)</f>
        <v/>
      </c>
      <c r="F89" s="253">
        <f>MAX(0,MAX(0,SUM($E$88:F88))*1_Assumptions!$F$140-SUM($E$89:E89))</f>
        <v/>
      </c>
      <c r="G89" s="254">
        <f>MAX(0,MAX(0,SUM($E$88:G88))*1_Assumptions!$F$140-SUM($E$89:F89))</f>
        <v/>
      </c>
      <c r="H89" s="253">
        <f>MAX(0,MAX(0,SUM($E$88:H88))*1_Assumptions!$F$140-SUM($E$89:G89))</f>
        <v/>
      </c>
      <c r="I89" s="253">
        <f>MAX(0,MAX(0,SUM($E$88:I88))*1_Assumptions!$F$140-SUM($E$89:H89))</f>
        <v/>
      </c>
      <c r="J89" s="253">
        <f>MAX(0,MAX(0,SUM($E$88:J88))*1_Assumptions!$F$140-SUM($E$89:I89))</f>
        <v/>
      </c>
      <c r="K89" s="253">
        <f>MAX(0,MAX(0,SUM($E$88:K88))*1_Assumptions!$F$140-SUM($E$89:J89))</f>
        <v/>
      </c>
      <c r="L89" s="253">
        <f>MAX(0,MAX(0,SUM($E$88:L88))*1_Assumptions!$F$140-SUM($E$89:K89))</f>
        <v/>
      </c>
      <c r="M89" s="253">
        <f>MAX(0,MAX(0,SUM($E$88:M88))*1_Assumptions!$F$140-SUM($E$89:L89))</f>
        <v/>
      </c>
      <c r="N89" s="253">
        <f>MAX(0,MAX(0,SUM($E$88:N88))*1_Assumptions!$F$140-SUM($E$89:M89))</f>
        <v/>
      </c>
      <c r="O89" s="253">
        <f>MAX(0,MAX(0,SUM($E$88:O88))*1_Assumptions!$F$140-SUM($E$89:N89))</f>
        <v/>
      </c>
      <c r="P89" s="253">
        <f>MAX(0,MAX(0,SUM($E$88:P88))*1_Assumptions!$F$140-SUM($E$89:O89))</f>
        <v/>
      </c>
      <c r="Q89" s="253">
        <f>MAX(0,MAX(0,SUM($E$88:Q88))*1_Assumptions!$F$140-SUM($E$89:P89))</f>
        <v/>
      </c>
      <c r="R89" s="253">
        <f>MAX(0,MAX(0,SUM($E$88:R88))*1_Assumptions!$F$140-SUM($E$89:Q89))</f>
        <v/>
      </c>
      <c r="S89" s="253">
        <f>MAX(0,MAX(0,SUM($E$88:S88))*1_Assumptions!$F$140-SUM($E$89:R89))</f>
        <v/>
      </c>
      <c r="T89" s="253">
        <f>MAX(0,MAX(0,SUM($E$88:T88))*1_Assumptions!$F$140-SUM($E$89:S89))</f>
        <v/>
      </c>
      <c r="U89" s="253">
        <f>MAX(0,MAX(0,SUM($E$88:U88))*1_Assumptions!$F$140-SUM($E$89:T89))</f>
        <v/>
      </c>
      <c r="V89" s="253">
        <f>MAX(0,MAX(0,SUM($E$88:V88))*1_Assumptions!$F$140-SUM($E$89:U89))</f>
        <v/>
      </c>
      <c r="W89" s="253">
        <f>MAX(0,MAX(0,SUM($E$88:W88))*1_Assumptions!$F$140-SUM($E$89:V89))</f>
        <v/>
      </c>
      <c r="X89" s="253">
        <f>MAX(0,MAX(0,SUM($E$88:X88))*1_Assumptions!$F$140-SUM($E$89:W89))</f>
        <v/>
      </c>
      <c r="Y89" s="253">
        <f>MAX(0,MAX(0,SUM($E$88:Y88))*1_Assumptions!$F$140-SUM($E$89:X89))</f>
        <v/>
      </c>
      <c r="Z89" s="253">
        <f>MAX(0,MAX(0,SUM($E$88:Z88))*1_Assumptions!$F$140-SUM($E$89:Y89))</f>
        <v/>
      </c>
      <c r="AA89" s="253">
        <f>MAX(0,MAX(0,SUM($E$88:AA88))*1_Assumptions!$F$140-SUM($E$89:Z89))</f>
        <v/>
      </c>
      <c r="AB89" s="253">
        <f>MAX(0,MAX(0,SUM($E$88:AB88))*1_Assumptions!$F$140-SUM($E$89:AA89))</f>
        <v/>
      </c>
      <c r="AC89" s="253">
        <f>MAX(0,MAX(0,SUM($E$88:AC88))*1_Assumptions!$F$140-SUM($E$89:AB89))</f>
        <v/>
      </c>
    </row>
    <row r="90" ht="15" customHeight="1" s="160">
      <c r="A90" s="246" t="n"/>
      <c r="B90" s="247" t="inlineStr">
        <is>
          <t>NOPAT (EBIT after Tax)</t>
        </is>
      </c>
      <c r="C90" s="248" t="inlineStr">
        <is>
          <t>€</t>
        </is>
      </c>
      <c r="D90" s="249" t="n"/>
      <c r="E90" s="249">
        <f>E88-E89</f>
        <v/>
      </c>
      <c r="F90" s="249">
        <f>F88-F89</f>
        <v/>
      </c>
      <c r="G90" s="249">
        <f>G88-G89</f>
        <v/>
      </c>
      <c r="H90" s="249">
        <f>H88-H89</f>
        <v/>
      </c>
      <c r="I90" s="249">
        <f>I88-I89</f>
        <v/>
      </c>
      <c r="J90" s="249">
        <f>J88-J89</f>
        <v/>
      </c>
      <c r="K90" s="249">
        <f>K88-K89</f>
        <v/>
      </c>
      <c r="L90" s="249">
        <f>L88-L89</f>
        <v/>
      </c>
      <c r="M90" s="249">
        <f>M88-M89</f>
        <v/>
      </c>
      <c r="N90" s="249">
        <f>N88-N89</f>
        <v/>
      </c>
      <c r="O90" s="249">
        <f>O88-O89</f>
        <v/>
      </c>
      <c r="P90" s="249">
        <f>P88-P89</f>
        <v/>
      </c>
      <c r="Q90" s="249">
        <f>Q88-Q89</f>
        <v/>
      </c>
      <c r="R90" s="249">
        <f>R88-R89</f>
        <v/>
      </c>
      <c r="S90" s="249">
        <f>S88-S89</f>
        <v/>
      </c>
      <c r="T90" s="249">
        <f>T88-T89</f>
        <v/>
      </c>
      <c r="U90" s="249">
        <f>U88-U89</f>
        <v/>
      </c>
      <c r="V90" s="249">
        <f>V88-V89</f>
        <v/>
      </c>
      <c r="W90" s="249">
        <f>W88-W89</f>
        <v/>
      </c>
      <c r="X90" s="249">
        <f>X88-X89</f>
        <v/>
      </c>
      <c r="Y90" s="249">
        <f>Y88-Y89</f>
        <v/>
      </c>
      <c r="Z90" s="249">
        <f>Z88-Z89</f>
        <v/>
      </c>
      <c r="AA90" s="249">
        <f>AA88-AA89</f>
        <v/>
      </c>
      <c r="AB90" s="249">
        <f>AB88-AB89</f>
        <v/>
      </c>
      <c r="AC90" s="249">
        <f>AC88-AC89</f>
        <v/>
      </c>
    </row>
    <row r="92" ht="15" customHeight="1" s="160">
      <c r="A92" s="187" t="n"/>
      <c r="B92" s="188" t="inlineStr">
        <is>
          <t>L. ANNUAL P&amp;L SUMMARY (with estimated historical)</t>
        </is>
      </c>
      <c r="C92" s="187" t="n"/>
      <c r="D92" s="187" t="n"/>
      <c r="E92" s="187" t="n"/>
      <c r="F92" s="187" t="n"/>
      <c r="G92" s="187" t="n"/>
      <c r="H92" s="187" t="n"/>
      <c r="I92" s="187" t="n"/>
      <c r="J92" s="187" t="n"/>
    </row>
    <row r="93" ht="15" customHeight="1" s="160">
      <c r="D93" s="180" t="inlineStr">
        <is>
          <t>FY2024 (est.)</t>
        </is>
      </c>
      <c r="E93" s="180" t="inlineStr">
        <is>
          <t>FY2025 (est.)</t>
        </is>
      </c>
      <c r="F93" s="180" t="inlineStr">
        <is>
          <t>FY2026*</t>
        </is>
      </c>
      <c r="G93" s="180" t="inlineStr">
        <is>
          <t>FY2027</t>
        </is>
      </c>
      <c r="H93" s="180" t="inlineStr">
        <is>
          <t>FY2028</t>
        </is>
      </c>
      <c r="I93" s="180" t="inlineStr">
        <is>
          <t>FY2029</t>
        </is>
      </c>
      <c r="J93" s="180" t="inlineStr">
        <is>
          <t>FY2030</t>
        </is>
      </c>
    </row>
    <row r="94" ht="15" customHeight="1" s="160">
      <c r="A94" s="181" t="n"/>
      <c r="B94" s="182" t="inlineStr">
        <is>
          <t>Total Revenue</t>
        </is>
      </c>
      <c r="C94" s="183" t="inlineStr">
        <is>
          <t>€</t>
        </is>
      </c>
      <c r="D94" s="245" t="n">
        <v>0</v>
      </c>
      <c r="E94" s="245" t="n">
        <v>15000</v>
      </c>
      <c r="F94" s="242">
        <f>SUM(E68:M68)</f>
        <v/>
      </c>
      <c r="G94" s="242">
        <f>SUM(N68:Q68)</f>
        <v/>
      </c>
      <c r="H94" s="242">
        <f>SUM(R68:U68)</f>
        <v/>
      </c>
      <c r="I94" s="242">
        <f>SUM(V68:Y68)</f>
        <v/>
      </c>
      <c r="J94" s="242">
        <f>SUM(Z68:AC68)</f>
        <v/>
      </c>
    </row>
    <row r="95" ht="15" customHeight="1" s="160">
      <c r="A95" s="176" t="n"/>
      <c r="B95" s="177" t="inlineStr">
        <is>
          <t xml:space="preserve">  Subscription Revenue</t>
        </is>
      </c>
      <c r="C95" s="178" t="inlineStr">
        <is>
          <t>€</t>
        </is>
      </c>
      <c r="D95" s="243" t="n">
        <v>0</v>
      </c>
      <c r="E95" s="243" t="n">
        <v>0</v>
      </c>
      <c r="F95" s="244">
        <f>SUM(E50:M50)</f>
        <v/>
      </c>
      <c r="G95" s="244">
        <f>SUM(N50:Q50)</f>
        <v/>
      </c>
      <c r="H95" s="244">
        <f>SUM(R50:U50)</f>
        <v/>
      </c>
      <c r="I95" s="244">
        <f>SUM(V50:Y50)</f>
        <v/>
      </c>
      <c r="J95" s="244">
        <f>SUM(Z50:AC50)</f>
        <v/>
      </c>
    </row>
    <row r="96" ht="15" customHeight="1" s="160">
      <c r="A96" s="181" t="n"/>
      <c r="B96" s="182" t="inlineStr">
        <is>
          <t xml:space="preserve">  Credit Revenue</t>
        </is>
      </c>
      <c r="C96" s="183" t="inlineStr">
        <is>
          <t>€</t>
        </is>
      </c>
      <c r="D96" s="245" t="n">
        <v>0</v>
      </c>
      <c r="E96" s="245" t="n">
        <v>0</v>
      </c>
      <c r="F96" s="242">
        <f>SUM(E56:M56)</f>
        <v/>
      </c>
      <c r="G96" s="242">
        <f>SUM(N56:Q56)</f>
        <v/>
      </c>
      <c r="H96" s="242">
        <f>SUM(R56:U56)</f>
        <v/>
      </c>
      <c r="I96" s="242">
        <f>SUM(V56:Y56)</f>
        <v/>
      </c>
      <c r="J96" s="242">
        <f>SUM(Z56:AC56)</f>
        <v/>
      </c>
    </row>
    <row r="97" ht="15" customHeight="1" s="160">
      <c r="A97" s="176" t="n"/>
      <c r="B97" s="177" t="inlineStr">
        <is>
          <t xml:space="preserve">  Setup Fee Revenue</t>
        </is>
      </c>
      <c r="C97" s="178" t="inlineStr">
        <is>
          <t>€</t>
        </is>
      </c>
      <c r="D97" s="243" t="n">
        <v>0</v>
      </c>
      <c r="E97" s="243" t="n">
        <v>0</v>
      </c>
      <c r="F97" s="244">
        <f>SUM(E42:M42)</f>
        <v/>
      </c>
      <c r="G97" s="244">
        <f>SUM(N42:Q42)</f>
        <v/>
      </c>
      <c r="H97" s="244">
        <f>SUM(R42:U42)</f>
        <v/>
      </c>
      <c r="I97" s="244">
        <f>SUM(V42:Y42)</f>
        <v/>
      </c>
      <c r="J97" s="244">
        <f>SUM(Z42:AC42)</f>
        <v/>
      </c>
    </row>
    <row r="98" ht="15" customHeight="1" s="160">
      <c r="A98" s="181" t="n"/>
      <c r="B98" s="182" t="inlineStr">
        <is>
          <t xml:space="preserve">  PS Revenue</t>
        </is>
      </c>
      <c r="C98" s="183" t="inlineStr">
        <is>
          <t>€</t>
        </is>
      </c>
      <c r="D98" s="245" t="n">
        <v>0</v>
      </c>
      <c r="E98" s="245" t="n">
        <v>0</v>
      </c>
      <c r="F98" s="242">
        <f>SUM(E62:M62)</f>
        <v/>
      </c>
      <c r="G98" s="242">
        <f>SUM(N62:Q62)</f>
        <v/>
      </c>
      <c r="H98" s="242">
        <f>SUM(R62:U62)</f>
        <v/>
      </c>
      <c r="I98" s="242">
        <f>SUM(V62:Y62)</f>
        <v/>
      </c>
      <c r="J98" s="242">
        <f>SUM(Z62:AC62)</f>
        <v/>
      </c>
    </row>
    <row r="99" ht="15" customHeight="1" s="160">
      <c r="A99" s="176" t="n"/>
      <c r="B99" s="177" t="inlineStr">
        <is>
          <t>Total COGS</t>
        </is>
      </c>
      <c r="C99" s="178" t="inlineStr">
        <is>
          <t>€</t>
        </is>
      </c>
      <c r="D99" s="243" t="n">
        <v>0</v>
      </c>
      <c r="E99" s="243" t="n">
        <v>-2000</v>
      </c>
      <c r="F99" s="244">
        <f>SUM(E74:M74)</f>
        <v/>
      </c>
      <c r="G99" s="244">
        <f>SUM(N74:Q74)</f>
        <v/>
      </c>
      <c r="H99" s="244">
        <f>SUM(R74:U74)</f>
        <v/>
      </c>
      <c r="I99" s="244">
        <f>SUM(V74:Y74)</f>
        <v/>
      </c>
      <c r="J99" s="244">
        <f>SUM(Z74:AC74)</f>
        <v/>
      </c>
    </row>
    <row r="100" ht="15" customHeight="1" s="160">
      <c r="A100" s="246" t="n"/>
      <c r="B100" s="247" t="inlineStr">
        <is>
          <t>Gross Profit</t>
        </is>
      </c>
      <c r="C100" s="248" t="inlineStr">
        <is>
          <t>€</t>
        </is>
      </c>
      <c r="D100" s="249" t="n">
        <v>0</v>
      </c>
      <c r="E100" s="249" t="n">
        <v>13000</v>
      </c>
      <c r="F100" s="249">
        <f>SUM(E75:M75)</f>
        <v/>
      </c>
      <c r="G100" s="249">
        <f>SUM(N75:Q75)</f>
        <v/>
      </c>
      <c r="H100" s="249">
        <f>SUM(R75:U75)</f>
        <v/>
      </c>
      <c r="I100" s="249">
        <f>SUM(V75:Y75)</f>
        <v/>
      </c>
      <c r="J100" s="249">
        <f>SUM(Z75:AC75)</f>
        <v/>
      </c>
      <c r="K100" s="255" t="n"/>
      <c r="L100" s="255" t="n"/>
      <c r="M100" s="255" t="n"/>
      <c r="N100" s="255" t="n"/>
      <c r="O100" s="255" t="n"/>
      <c r="P100" s="255" t="n"/>
      <c r="Q100" s="255" t="n"/>
      <c r="R100" s="255" t="n"/>
      <c r="S100" s="255" t="n"/>
      <c r="T100" s="255" t="n"/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</row>
    <row r="101" ht="15" customHeight="1" s="160">
      <c r="A101" s="176" t="n"/>
      <c r="B101" s="177" t="inlineStr">
        <is>
          <t>Total OpEx</t>
        </is>
      </c>
      <c r="C101" s="178" t="inlineStr">
        <is>
          <t>€</t>
        </is>
      </c>
      <c r="D101" s="243" t="n">
        <v>-120000</v>
      </c>
      <c r="E101" s="243" t="n">
        <v>-280000</v>
      </c>
      <c r="F101" s="244">
        <f>SUM(E82:M82)</f>
        <v/>
      </c>
      <c r="G101" s="244">
        <f>SUM(N82:Q82)</f>
        <v/>
      </c>
      <c r="H101" s="244">
        <f>SUM(R82:U82)</f>
        <v/>
      </c>
      <c r="I101" s="244">
        <f>SUM(V82:Y82)</f>
        <v/>
      </c>
      <c r="J101" s="244">
        <f>SUM(Z82:AC82)</f>
        <v/>
      </c>
    </row>
    <row r="102" ht="15" customHeight="1" s="160">
      <c r="A102" s="246" t="n"/>
      <c r="B102" s="247" t="inlineStr">
        <is>
          <t>EBITDA</t>
        </is>
      </c>
      <c r="C102" s="248" t="inlineStr">
        <is>
          <t>€</t>
        </is>
      </c>
      <c r="D102" s="249" t="n">
        <v>-120000</v>
      </c>
      <c r="E102" s="249" t="n">
        <v>-267000</v>
      </c>
      <c r="F102" s="249">
        <f>SUM(E85:M85)</f>
        <v/>
      </c>
      <c r="G102" s="249">
        <f>SUM(N85:Q85)</f>
        <v/>
      </c>
      <c r="H102" s="249">
        <f>SUM(R85:U85)</f>
        <v/>
      </c>
      <c r="I102" s="249">
        <f>SUM(V85:Y85)</f>
        <v/>
      </c>
      <c r="J102" s="249">
        <f>SUM(Z85:AC85)</f>
        <v/>
      </c>
      <c r="K102" s="255" t="n"/>
      <c r="L102" s="255" t="n"/>
      <c r="M102" s="255" t="n"/>
      <c r="N102" s="255" t="n"/>
      <c r="O102" s="255" t="n"/>
      <c r="P102" s="255" t="n"/>
      <c r="Q102" s="255" t="n"/>
      <c r="R102" s="255" t="n"/>
      <c r="S102" s="255" t="n"/>
      <c r="T102" s="255" t="n"/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</row>
    <row r="103" ht="15" customHeight="1" s="160">
      <c r="A103" s="176" t="n"/>
      <c r="B103" s="177" t="inlineStr">
        <is>
          <t>D&amp;A</t>
        </is>
      </c>
      <c r="C103" s="178" t="inlineStr">
        <is>
          <t>€</t>
        </is>
      </c>
      <c r="D103" s="243" t="n">
        <v>-5000</v>
      </c>
      <c r="E103" s="243" t="n">
        <v>-8000</v>
      </c>
      <c r="F103" s="244">
        <f>SUM(E87:M87)</f>
        <v/>
      </c>
      <c r="G103" s="244">
        <f>SUM(N87:Q87)</f>
        <v/>
      </c>
      <c r="H103" s="244">
        <f>SUM(R87:U87)</f>
        <v/>
      </c>
      <c r="I103" s="244">
        <f>SUM(V87:Y87)</f>
        <v/>
      </c>
      <c r="J103" s="244">
        <f>SUM(Z87:AC87)</f>
        <v/>
      </c>
    </row>
    <row r="104" ht="15" customHeight="1" s="160">
      <c r="A104" s="181" t="n"/>
      <c r="B104" s="182" t="inlineStr">
        <is>
          <t>EBIT</t>
        </is>
      </c>
      <c r="C104" s="183" t="inlineStr">
        <is>
          <t>€</t>
        </is>
      </c>
      <c r="D104" s="245" t="n">
        <v>-125000</v>
      </c>
      <c r="E104" s="245" t="n">
        <v>-275000</v>
      </c>
      <c r="F104" s="242">
        <f>SUM(E88:M88)</f>
        <v/>
      </c>
      <c r="G104" s="242">
        <f>SUM(N88:Q88)</f>
        <v/>
      </c>
      <c r="H104" s="242">
        <f>SUM(R88:U88)</f>
        <v/>
      </c>
      <c r="I104" s="242">
        <f>SUM(V88:Y88)</f>
        <v/>
      </c>
      <c r="J104" s="242">
        <f>SUM(Z88:AC88)</f>
        <v/>
      </c>
    </row>
    <row r="105" ht="15" customHeight="1" s="160">
      <c r="A105" s="176" t="n"/>
      <c r="B105" s="177" t="inlineStr">
        <is>
          <t>Taxes</t>
        </is>
      </c>
      <c r="C105" s="178" t="inlineStr">
        <is>
          <t>€</t>
        </is>
      </c>
      <c r="D105" s="243" t="n">
        <v>0</v>
      </c>
      <c r="E105" s="243" t="n">
        <v>0</v>
      </c>
      <c r="F105" s="244">
        <f>SUM(E89:M89)</f>
        <v/>
      </c>
      <c r="G105" s="244">
        <f>SUM(N89:Q89)</f>
        <v/>
      </c>
      <c r="H105" s="244">
        <f>SUM(R89:U89)</f>
        <v/>
      </c>
      <c r="I105" s="244">
        <f>SUM(V89:Y89)</f>
        <v/>
      </c>
      <c r="J105" s="244">
        <f>SUM(Z89:AC89)</f>
        <v/>
      </c>
    </row>
    <row r="106" ht="15" customHeight="1" s="160">
      <c r="A106" s="246" t="n"/>
      <c r="B106" s="247" t="inlineStr">
        <is>
          <t>NOPAT</t>
        </is>
      </c>
      <c r="C106" s="248" t="inlineStr">
        <is>
          <t>€</t>
        </is>
      </c>
      <c r="D106" s="249" t="n">
        <v>-125000</v>
      </c>
      <c r="E106" s="249" t="n">
        <v>-275000</v>
      </c>
      <c r="F106" s="249">
        <f>SUM(E90:M90)</f>
        <v/>
      </c>
      <c r="G106" s="249">
        <f>SUM(N90:Q90)</f>
        <v/>
      </c>
      <c r="H106" s="249">
        <f>SUM(R90:U90)</f>
        <v/>
      </c>
      <c r="I106" s="249">
        <f>SUM(V90:Y90)</f>
        <v/>
      </c>
      <c r="J106" s="249">
        <f>SUM(Z90:AC90)</f>
        <v/>
      </c>
      <c r="K106" s="255" t="n"/>
      <c r="L106" s="255" t="n"/>
      <c r="M106" s="255" t="n"/>
      <c r="N106" s="255" t="n"/>
      <c r="O106" s="255" t="n"/>
      <c r="P106" s="255" t="n"/>
      <c r="Q106" s="255" t="n"/>
      <c r="R106" s="255" t="n"/>
      <c r="S106" s="255" t="n"/>
      <c r="T106" s="255" t="n"/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</row>
    <row r="107" ht="15" customHeight="1" s="160">
      <c r="A107" s="176" t="n"/>
      <c r="B107" s="177" t="inlineStr">
        <is>
          <t>Gross Margin %</t>
        </is>
      </c>
      <c r="C107" s="178" t="inlineStr">
        <is>
          <t>%</t>
        </is>
      </c>
      <c r="D107" s="202">
        <f>IFERROR(D100/D94,0)</f>
        <v/>
      </c>
      <c r="E107" s="202">
        <f>IFERROR(E100/E94,0)</f>
        <v/>
      </c>
      <c r="F107" s="202">
        <f>IFERROR(F100/F94,0)</f>
        <v/>
      </c>
      <c r="G107" s="202">
        <f>IFERROR(G100/G94,0)</f>
        <v/>
      </c>
      <c r="H107" s="202">
        <f>IFERROR(H100/H94,0)</f>
        <v/>
      </c>
      <c r="I107" s="202">
        <f>IFERROR(I100/I94,0)</f>
        <v/>
      </c>
      <c r="J107" s="202">
        <f>IFERROR(J100/J94,0)</f>
        <v/>
      </c>
      <c r="K107" s="214" t="n"/>
      <c r="L107" s="214" t="n"/>
      <c r="M107" s="214" t="n"/>
      <c r="N107" s="214" t="n"/>
      <c r="O107" s="214" t="n"/>
      <c r="P107" s="214" t="n"/>
      <c r="Q107" s="214" t="n"/>
      <c r="R107" s="214" t="n"/>
      <c r="S107" s="214" t="n"/>
      <c r="T107" s="214" t="n"/>
      <c r="U107" s="214" t="n"/>
      <c r="V107" s="214" t="n"/>
      <c r="W107" s="214" t="n"/>
      <c r="X107" s="214" t="n"/>
      <c r="Y107" s="214" t="n"/>
      <c r="Z107" s="214" t="n"/>
      <c r="AA107" s="214" t="n"/>
      <c r="AB107" s="214" t="n"/>
      <c r="AC107" s="214" t="n"/>
    </row>
    <row r="108" ht="15" customHeight="1" s="160">
      <c r="A108" s="246" t="n"/>
      <c r="B108" s="247" t="inlineStr">
        <is>
          <t>EBITDA Margin %</t>
        </is>
      </c>
      <c r="C108" s="248" t="inlineStr">
        <is>
          <t>%</t>
        </is>
      </c>
      <c r="D108" s="253">
        <f>IFERROR(D102/D94,0)</f>
        <v/>
      </c>
      <c r="E108" s="253">
        <f>IFERROR(E102/E94,0)</f>
        <v/>
      </c>
      <c r="F108" s="253">
        <f>IFERROR(F102/F94,0)</f>
        <v/>
      </c>
      <c r="G108" s="253">
        <f>IFERROR(G102/G94,0)</f>
        <v/>
      </c>
      <c r="H108" s="253">
        <f>IFERROR(H102/H94,0)</f>
        <v/>
      </c>
      <c r="I108" s="253">
        <f>IFERROR(I102/I94,0)</f>
        <v/>
      </c>
      <c r="J108" s="253">
        <f>IFERROR(J102/J94,0)</f>
        <v/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</row>
    <row r="109" ht="15" customHeight="1" s="160">
      <c r="A109" s="176" t="n"/>
      <c r="B109" s="177" t="inlineStr">
        <is>
          <t>ARR (End of Year)</t>
        </is>
      </c>
      <c r="C109" s="178" t="inlineStr">
        <is>
          <t>€</t>
        </is>
      </c>
      <c r="D109" s="243" t="n">
        <v>0</v>
      </c>
      <c r="E109" s="243" t="n">
        <v>0</v>
      </c>
      <c r="F109" s="244">
        <f>M66</f>
        <v/>
      </c>
      <c r="G109" s="244">
        <f>Q66</f>
        <v/>
      </c>
      <c r="H109" s="244">
        <f>U66</f>
        <v/>
      </c>
      <c r="I109" s="244">
        <f>Y66</f>
        <v/>
      </c>
      <c r="J109" s="244">
        <f>AC66</f>
        <v/>
      </c>
    </row>
    <row r="110" ht="15" customHeight="1" s="160">
      <c r="A110" s="181" t="n"/>
      <c r="B110" s="182" t="inlineStr">
        <is>
          <t>Total Installed Base (EoY)</t>
        </is>
      </c>
      <c r="C110" s="183" t="inlineStr">
        <is>
          <t>logos</t>
        </is>
      </c>
      <c r="D110" s="184" t="n">
        <v>0</v>
      </c>
      <c r="E110" s="184" t="n">
        <v>3</v>
      </c>
      <c r="F110" s="182">
        <f>M27</f>
        <v/>
      </c>
      <c r="G110" s="182">
        <f>Q27</f>
        <v/>
      </c>
      <c r="H110" s="182">
        <f>U27</f>
        <v/>
      </c>
      <c r="I110" s="182">
        <f>Y27</f>
        <v/>
      </c>
      <c r="J110" s="182">
        <f>AC27</f>
        <v/>
      </c>
    </row>
  </sheetData>
  <mergeCells count="6">
    <mergeCell ref="E2:M2"/>
    <mergeCell ref="A1:AC1"/>
    <mergeCell ref="V2:Y2"/>
    <mergeCell ref="Z2:AC2"/>
    <mergeCell ref="N2:Q2"/>
    <mergeCell ref="R2:U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C30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4" ySplit="3" topLeftCell="N19" activePane="bottomRight" state="frozen"/>
      <selection pane="topLeft" activeCell="A1" activeCellId="0" sqref="A1"/>
      <selection pane="topRight" activeCell="N1" activeCellId="0" sqref="N1"/>
      <selection pane="bottomLeft" activeCell="A19" activeCellId="0" sqref="A19"/>
      <selection pane="bottomRight" activeCell="S26" activeCellId="0" sqref="S26"/>
    </sheetView>
  </sheetViews>
  <sheetFormatPr baseColWidth="8" defaultColWidth="8.5703125" defaultRowHeight="14.25" customHeight="0" zeroHeight="0" outlineLevelRow="0"/>
  <cols>
    <col width="3" customWidth="1" style="159" min="1" max="1"/>
    <col width="52" customWidth="1" style="159" min="2" max="2"/>
    <col width="6" customWidth="1" style="159" min="3" max="3"/>
    <col width="13" customWidth="1" style="159" min="5" max="29"/>
  </cols>
  <sheetData>
    <row r="1" ht="15" customHeight="1" s="160">
      <c r="A1" s="166" t="inlineStr">
        <is>
          <t xml:space="preserve">  3_CashFlow  |  Cash Flow Statement → FCFF  |  Monthly Year 1, Quarterly Years 2-5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167" t="n"/>
      <c r="T1" s="167" t="n"/>
      <c r="U1" s="167" t="n"/>
      <c r="V1" s="167" t="n"/>
      <c r="W1" s="167" t="n"/>
      <c r="X1" s="167" t="n"/>
      <c r="Y1" s="167" t="n"/>
      <c r="Z1" s="167" t="n"/>
      <c r="AA1" s="167" t="n"/>
      <c r="AB1" s="167" t="n"/>
      <c r="AC1" s="167" t="n"/>
    </row>
    <row r="2" ht="15" customHeight="1" s="160">
      <c r="E2" s="257" t="inlineStr">
        <is>
          <t>2026 (Monthly)</t>
        </is>
      </c>
      <c r="N2" s="257" t="inlineStr">
        <is>
          <t>2027</t>
        </is>
      </c>
      <c r="R2" s="257" t="inlineStr">
        <is>
          <t>2028</t>
        </is>
      </c>
      <c r="V2" s="257" t="inlineStr">
        <is>
          <t>2029</t>
        </is>
      </c>
      <c r="Z2" s="257" t="inlineStr">
        <is>
          <t>2030</t>
        </is>
      </c>
    </row>
    <row r="3" ht="15" customHeight="1" s="160">
      <c r="A3" s="169" t="n"/>
      <c r="B3" s="170" t="inlineStr">
        <is>
          <t>Cash Flow Component</t>
        </is>
      </c>
      <c r="C3" s="229" t="inlineStr">
        <is>
          <t>Units</t>
        </is>
      </c>
      <c r="D3" s="169" t="n"/>
      <c r="E3" s="230" t="inlineStr">
        <is>
          <t>Apr</t>
        </is>
      </c>
      <c r="F3" s="230" t="inlineStr">
        <is>
          <t>May</t>
        </is>
      </c>
      <c r="G3" s="230" t="inlineStr">
        <is>
          <t>Jun</t>
        </is>
      </c>
      <c r="H3" s="230" t="inlineStr">
        <is>
          <t>Jul</t>
        </is>
      </c>
      <c r="I3" s="230" t="inlineStr">
        <is>
          <t>Aug</t>
        </is>
      </c>
      <c r="J3" s="230" t="inlineStr">
        <is>
          <t>Sep</t>
        </is>
      </c>
      <c r="K3" s="230" t="inlineStr">
        <is>
          <t>Oct</t>
        </is>
      </c>
      <c r="L3" s="230" t="inlineStr">
        <is>
          <t>Nov</t>
        </is>
      </c>
      <c r="M3" s="230" t="inlineStr">
        <is>
          <t>Dec</t>
        </is>
      </c>
      <c r="N3" s="230" t="inlineStr">
        <is>
          <t>Q1</t>
        </is>
      </c>
      <c r="O3" s="230" t="inlineStr">
        <is>
          <t>Q2</t>
        </is>
      </c>
      <c r="P3" s="230" t="inlineStr">
        <is>
          <t>Q3</t>
        </is>
      </c>
      <c r="Q3" s="230" t="inlineStr">
        <is>
          <t>Q4</t>
        </is>
      </c>
      <c r="R3" s="230" t="inlineStr">
        <is>
          <t>Q1</t>
        </is>
      </c>
      <c r="S3" s="230" t="inlineStr">
        <is>
          <t>Q2</t>
        </is>
      </c>
      <c r="T3" s="230" t="inlineStr">
        <is>
          <t>Q3</t>
        </is>
      </c>
      <c r="U3" s="230" t="inlineStr">
        <is>
          <t>Q4</t>
        </is>
      </c>
      <c r="V3" s="230" t="inlineStr">
        <is>
          <t>Q1</t>
        </is>
      </c>
      <c r="W3" s="230" t="inlineStr">
        <is>
          <t>Q2</t>
        </is>
      </c>
      <c r="X3" s="230" t="inlineStr">
        <is>
          <t>Q3</t>
        </is>
      </c>
      <c r="Y3" s="230" t="inlineStr">
        <is>
          <t>Q4</t>
        </is>
      </c>
      <c r="Z3" s="230" t="inlineStr">
        <is>
          <t>Q1</t>
        </is>
      </c>
      <c r="AA3" s="230" t="inlineStr">
        <is>
          <t>Q2</t>
        </is>
      </c>
      <c r="AB3" s="230" t="inlineStr">
        <is>
          <t>Q3</t>
        </is>
      </c>
      <c r="AC3" s="230" t="inlineStr">
        <is>
          <t>Q4</t>
        </is>
      </c>
    </row>
    <row r="5" ht="15" customHeight="1" s="160">
      <c r="B5" s="175" t="inlineStr">
        <is>
          <t>Opening Cash (€)</t>
        </is>
      </c>
      <c r="C5" s="175" t="inlineStr">
        <is>
          <t>€</t>
        </is>
      </c>
      <c r="D5" s="175" t="n">
        <v>3000000</v>
      </c>
      <c r="G5" s="175" t="inlineStr">
        <is>
          <t>€3M seed received end Q1 2026</t>
        </is>
      </c>
    </row>
    <row r="7" ht="15" customHeight="1" s="160">
      <c r="A7" s="187" t="n"/>
      <c r="B7" s="188" t="inlineStr">
        <is>
          <t>A. OPERATING CASH FLOW</t>
        </is>
      </c>
      <c r="C7" s="187" t="n"/>
      <c r="D7" s="187" t="n"/>
      <c r="E7" s="187" t="n"/>
      <c r="F7" s="187" t="n"/>
      <c r="G7" s="187" t="n"/>
      <c r="H7" s="187" t="n"/>
      <c r="I7" s="187" t="n"/>
      <c r="J7" s="187" t="n"/>
      <c r="K7" s="187" t="n"/>
      <c r="L7" s="187" t="n"/>
      <c r="M7" s="187" t="n"/>
      <c r="N7" s="187" t="n"/>
      <c r="O7" s="187" t="n"/>
      <c r="P7" s="187" t="n"/>
      <c r="Q7" s="187" t="n"/>
      <c r="R7" s="187" t="n"/>
      <c r="S7" s="187" t="n"/>
      <c r="T7" s="187" t="n"/>
      <c r="U7" s="187" t="n"/>
      <c r="V7" s="187" t="n"/>
      <c r="W7" s="187" t="n"/>
      <c r="X7" s="187" t="n"/>
      <c r="Y7" s="187" t="n"/>
      <c r="Z7" s="187" t="n"/>
      <c r="AA7" s="187" t="n"/>
      <c r="AB7" s="187" t="n"/>
      <c r="AC7" s="187" t="n"/>
    </row>
    <row r="8" ht="15" customHeight="1" s="160">
      <c r="A8" s="181" t="n"/>
      <c r="B8" s="182" t="inlineStr">
        <is>
          <t>(+) EBIT</t>
        </is>
      </c>
      <c r="C8" s="183" t="inlineStr">
        <is>
          <t>€</t>
        </is>
      </c>
      <c r="D8" s="181" t="n"/>
      <c r="E8" s="242">
        <f>2_Projections!E88</f>
        <v/>
      </c>
      <c r="F8" s="242">
        <f>2_Projections!F88</f>
        <v/>
      </c>
      <c r="G8" s="242">
        <f>2_Projections!G88</f>
        <v/>
      </c>
      <c r="H8" s="242">
        <f>2_Projections!H88</f>
        <v/>
      </c>
      <c r="I8" s="242">
        <f>2_Projections!I88</f>
        <v/>
      </c>
      <c r="J8" s="242">
        <f>2_Projections!J88</f>
        <v/>
      </c>
      <c r="K8" s="242">
        <f>2_Projections!K88</f>
        <v/>
      </c>
      <c r="L8" s="242">
        <f>2_Projections!L88</f>
        <v/>
      </c>
      <c r="M8" s="242">
        <f>2_Projections!M88</f>
        <v/>
      </c>
      <c r="N8" s="242">
        <f>2_Projections!N88</f>
        <v/>
      </c>
      <c r="O8" s="242">
        <f>2_Projections!O88</f>
        <v/>
      </c>
      <c r="P8" s="242">
        <f>2_Projections!P88</f>
        <v/>
      </c>
      <c r="Q8" s="242">
        <f>2_Projections!Q88</f>
        <v/>
      </c>
      <c r="R8" s="242">
        <f>2_Projections!R88</f>
        <v/>
      </c>
      <c r="S8" s="242">
        <f>2_Projections!S88</f>
        <v/>
      </c>
      <c r="T8" s="242">
        <f>2_Projections!T88</f>
        <v/>
      </c>
      <c r="U8" s="242">
        <f>2_Projections!U88</f>
        <v/>
      </c>
      <c r="V8" s="242">
        <f>2_Projections!V88</f>
        <v/>
      </c>
      <c r="W8" s="242">
        <f>2_Projections!W88</f>
        <v/>
      </c>
      <c r="X8" s="242">
        <f>2_Projections!X88</f>
        <v/>
      </c>
      <c r="Y8" s="242">
        <f>2_Projections!Y88</f>
        <v/>
      </c>
      <c r="Z8" s="242">
        <f>2_Projections!Z88</f>
        <v/>
      </c>
      <c r="AA8" s="242">
        <f>2_Projections!AA88</f>
        <v/>
      </c>
      <c r="AB8" s="242">
        <f>2_Projections!AB88</f>
        <v/>
      </c>
      <c r="AC8" s="242">
        <f>2_Projections!AC88</f>
        <v/>
      </c>
    </row>
    <row r="9" ht="15" customHeight="1" s="160">
      <c r="A9" s="176" t="n"/>
      <c r="B9" s="177" t="inlineStr">
        <is>
          <t>(−) Taxes</t>
        </is>
      </c>
      <c r="C9" s="178" t="inlineStr">
        <is>
          <t>€</t>
        </is>
      </c>
      <c r="D9" s="176" t="n"/>
      <c r="E9" s="244">
        <f>2_Projections!E89</f>
        <v/>
      </c>
      <c r="F9" s="244">
        <f>2_Projections!F89</f>
        <v/>
      </c>
      <c r="G9" s="244">
        <f>2_Projections!G89</f>
        <v/>
      </c>
      <c r="H9" s="244">
        <f>2_Projections!H89</f>
        <v/>
      </c>
      <c r="I9" s="244">
        <f>2_Projections!I89</f>
        <v/>
      </c>
      <c r="J9" s="244">
        <f>2_Projections!J89</f>
        <v/>
      </c>
      <c r="K9" s="244">
        <f>2_Projections!K89</f>
        <v/>
      </c>
      <c r="L9" s="244">
        <f>2_Projections!L89</f>
        <v/>
      </c>
      <c r="M9" s="244">
        <f>2_Projections!M89</f>
        <v/>
      </c>
      <c r="N9" s="244">
        <f>2_Projections!N89</f>
        <v/>
      </c>
      <c r="O9" s="244">
        <f>2_Projections!O89</f>
        <v/>
      </c>
      <c r="P9" s="244">
        <f>2_Projections!P89</f>
        <v/>
      </c>
      <c r="Q9" s="244">
        <f>2_Projections!Q89</f>
        <v/>
      </c>
      <c r="R9" s="244">
        <f>2_Projections!R89</f>
        <v/>
      </c>
      <c r="S9" s="244">
        <f>2_Projections!S89</f>
        <v/>
      </c>
      <c r="T9" s="244">
        <f>2_Projections!T89</f>
        <v/>
      </c>
      <c r="U9" s="244">
        <f>2_Projections!U89</f>
        <v/>
      </c>
      <c r="V9" s="244">
        <f>2_Projections!V89</f>
        <v/>
      </c>
      <c r="W9" s="244">
        <f>2_Projections!W89</f>
        <v/>
      </c>
      <c r="X9" s="244">
        <f>2_Projections!X89</f>
        <v/>
      </c>
      <c r="Y9" s="244">
        <f>2_Projections!Y89</f>
        <v/>
      </c>
      <c r="Z9" s="244">
        <f>2_Projections!Z89</f>
        <v/>
      </c>
      <c r="AA9" s="244">
        <f>2_Projections!AA89</f>
        <v/>
      </c>
      <c r="AB9" s="244">
        <f>2_Projections!AB89</f>
        <v/>
      </c>
      <c r="AC9" s="244">
        <f>2_Projections!AC89</f>
        <v/>
      </c>
    </row>
    <row r="10" ht="15" customHeight="1" s="160">
      <c r="A10" s="181" t="n"/>
      <c r="B10" s="182" t="inlineStr">
        <is>
          <t>(+) Depreciation &amp; Amortisation (add back)</t>
        </is>
      </c>
      <c r="C10" s="183" t="inlineStr">
        <is>
          <t>€</t>
        </is>
      </c>
      <c r="D10" s="181" t="n"/>
      <c r="E10" s="242">
        <f>2_Projections!E87</f>
        <v/>
      </c>
      <c r="F10" s="242">
        <f>2_Projections!F87</f>
        <v/>
      </c>
      <c r="G10" s="242">
        <f>2_Projections!G87</f>
        <v/>
      </c>
      <c r="H10" s="242">
        <f>2_Projections!H87</f>
        <v/>
      </c>
      <c r="I10" s="242">
        <f>2_Projections!I87</f>
        <v/>
      </c>
      <c r="J10" s="242">
        <f>2_Projections!J87</f>
        <v/>
      </c>
      <c r="K10" s="242">
        <f>2_Projections!K87</f>
        <v/>
      </c>
      <c r="L10" s="242">
        <f>2_Projections!L87</f>
        <v/>
      </c>
      <c r="M10" s="242">
        <f>2_Projections!M87</f>
        <v/>
      </c>
      <c r="N10" s="242">
        <f>2_Projections!N87</f>
        <v/>
      </c>
      <c r="O10" s="242">
        <f>2_Projections!O87</f>
        <v/>
      </c>
      <c r="P10" s="242">
        <f>2_Projections!P87</f>
        <v/>
      </c>
      <c r="Q10" s="242">
        <f>2_Projections!Q87</f>
        <v/>
      </c>
      <c r="R10" s="242">
        <f>2_Projections!R87</f>
        <v/>
      </c>
      <c r="S10" s="242">
        <f>2_Projections!S87</f>
        <v/>
      </c>
      <c r="T10" s="242">
        <f>2_Projections!T87</f>
        <v/>
      </c>
      <c r="U10" s="242">
        <f>2_Projections!U87</f>
        <v/>
      </c>
      <c r="V10" s="242">
        <f>2_Projections!V87</f>
        <v/>
      </c>
      <c r="W10" s="242">
        <f>2_Projections!W87</f>
        <v/>
      </c>
      <c r="X10" s="242">
        <f>2_Projections!X87</f>
        <v/>
      </c>
      <c r="Y10" s="242">
        <f>2_Projections!Y87</f>
        <v/>
      </c>
      <c r="Z10" s="242">
        <f>2_Projections!Z87</f>
        <v/>
      </c>
      <c r="AA10" s="242">
        <f>2_Projections!AA87</f>
        <v/>
      </c>
      <c r="AB10" s="242">
        <f>2_Projections!AB87</f>
        <v/>
      </c>
      <c r="AC10" s="242">
        <f>2_Projections!AC87</f>
        <v/>
      </c>
    </row>
    <row r="11" ht="15" customHeight="1" s="160">
      <c r="A11" s="176" t="n"/>
      <c r="B11" s="177" t="inlineStr">
        <is>
          <t xml:space="preserve">  Accounts Receivable (Revenue × AR days / 360)</t>
        </is>
      </c>
      <c r="C11" s="178" t="inlineStr">
        <is>
          <t>€</t>
        </is>
      </c>
      <c r="D11" s="176" t="n"/>
      <c r="E11" s="244">
        <f>2_Projections!E68*(12/1)*1_Assumptions!$F$136/360</f>
        <v/>
      </c>
      <c r="F11" s="244">
        <f>2_Projections!F68*(12/1)*1_Assumptions!$F$136/360</f>
        <v/>
      </c>
      <c r="G11" s="251">
        <f>2_Projections!G68*(12/1)*1_Assumptions!$F$136/360</f>
        <v/>
      </c>
      <c r="H11" s="244">
        <f>2_Projections!H68*(12/1)*1_Assumptions!$F$136/360</f>
        <v/>
      </c>
      <c r="I11" s="244">
        <f>2_Projections!I68*(12/1)*1_Assumptions!$F$136/360</f>
        <v/>
      </c>
      <c r="J11" s="244">
        <f>2_Projections!J68*(12/1)*1_Assumptions!$F$136/360</f>
        <v/>
      </c>
      <c r="K11" s="244">
        <f>2_Projections!K68*(12/1)*1_Assumptions!$F$136/360</f>
        <v/>
      </c>
      <c r="L11" s="244">
        <f>2_Projections!L68*(12/1)*1_Assumptions!$F$136/360</f>
        <v/>
      </c>
      <c r="M11" s="244">
        <f>2_Projections!M68*(12/1)*1_Assumptions!$F$136/360</f>
        <v/>
      </c>
      <c r="N11" s="244">
        <f>2_Projections!N68*(12/3)*1_Assumptions!$F$136/360</f>
        <v/>
      </c>
      <c r="O11" s="244">
        <f>2_Projections!O68*(12/3)*1_Assumptions!$F$136/360</f>
        <v/>
      </c>
      <c r="P11" s="244">
        <f>2_Projections!P68*(12/3)*1_Assumptions!$F$136/360</f>
        <v/>
      </c>
      <c r="Q11" s="244">
        <f>2_Projections!Q68*(12/3)*1_Assumptions!$F$136/360</f>
        <v/>
      </c>
      <c r="R11" s="244">
        <f>2_Projections!R68*(12/3)*1_Assumptions!$F$136/360</f>
        <v/>
      </c>
      <c r="S11" s="244">
        <f>2_Projections!S68*(12/3)*1_Assumptions!$F$136/360</f>
        <v/>
      </c>
      <c r="T11" s="244">
        <f>2_Projections!T68*(12/3)*1_Assumptions!$F$136/360</f>
        <v/>
      </c>
      <c r="U11" s="244">
        <f>2_Projections!U68*(12/3)*1_Assumptions!$F$136/360</f>
        <v/>
      </c>
      <c r="V11" s="244">
        <f>2_Projections!V68*(12/3)*1_Assumptions!$F$136/360</f>
        <v/>
      </c>
      <c r="W11" s="244">
        <f>2_Projections!W68*(12/3)*1_Assumptions!$F$136/360</f>
        <v/>
      </c>
      <c r="X11" s="244">
        <f>2_Projections!X68*(12/3)*1_Assumptions!$F$136/360</f>
        <v/>
      </c>
      <c r="Y11" s="244">
        <f>2_Projections!Y68*(12/3)*1_Assumptions!$F$136/360</f>
        <v/>
      </c>
      <c r="Z11" s="244">
        <f>2_Projections!Z68*(12/3)*1_Assumptions!$F$136/360</f>
        <v/>
      </c>
      <c r="AA11" s="244">
        <f>2_Projections!AA68*(12/3)*1_Assumptions!$F$136/360</f>
        <v/>
      </c>
      <c r="AB11" s="244">
        <f>2_Projections!AB68*(12/3)*1_Assumptions!$F$136/360</f>
        <v/>
      </c>
      <c r="AC11" s="244">
        <f>2_Projections!AC68*(12/3)*1_Assumptions!$F$136/360</f>
        <v/>
      </c>
    </row>
    <row r="12" ht="15" customHeight="1" s="160">
      <c r="A12" s="181" t="n"/>
      <c r="B12" s="182" t="inlineStr">
        <is>
          <t xml:space="preserve">  Accounts Payable (COGS × AP days / 360)</t>
        </is>
      </c>
      <c r="C12" s="183" t="inlineStr">
        <is>
          <t>€</t>
        </is>
      </c>
      <c r="D12" s="181" t="n"/>
      <c r="E12" s="242">
        <f>2_Projections!E74*(12/1)*1_Assumptions!$F$137/360</f>
        <v/>
      </c>
      <c r="F12" s="242">
        <f>2_Projections!F74*(12/1)*1_Assumptions!$F$137/360</f>
        <v/>
      </c>
      <c r="G12" s="252">
        <f>2_Projections!G74*(12/1)*1_Assumptions!$F$137/360</f>
        <v/>
      </c>
      <c r="H12" s="242">
        <f>2_Projections!H74*(12/1)*1_Assumptions!$F$137/360</f>
        <v/>
      </c>
      <c r="I12" s="242">
        <f>2_Projections!I74*(12/1)*1_Assumptions!$F$137/360</f>
        <v/>
      </c>
      <c r="J12" s="242">
        <f>2_Projections!J74*(12/1)*1_Assumptions!$F$137/360</f>
        <v/>
      </c>
      <c r="K12" s="242">
        <f>2_Projections!K74*(12/1)*1_Assumptions!$F$137/360</f>
        <v/>
      </c>
      <c r="L12" s="242">
        <f>2_Projections!L74*(12/1)*1_Assumptions!$F$137/360</f>
        <v/>
      </c>
      <c r="M12" s="242">
        <f>2_Projections!M74*(12/1)*1_Assumptions!$F$137/360</f>
        <v/>
      </c>
      <c r="N12" s="242">
        <f>2_Projections!N74*(12/3)*1_Assumptions!$F$137/360</f>
        <v/>
      </c>
      <c r="O12" s="242">
        <f>2_Projections!O74*(12/3)*1_Assumptions!$F$137/360</f>
        <v/>
      </c>
      <c r="P12" s="242">
        <f>2_Projections!P74*(12/3)*1_Assumptions!$F$137/360</f>
        <v/>
      </c>
      <c r="Q12" s="242">
        <f>2_Projections!Q74*(12/3)*1_Assumptions!$F$137/360</f>
        <v/>
      </c>
      <c r="R12" s="242">
        <f>2_Projections!R74*(12/3)*1_Assumptions!$F$137/360</f>
        <v/>
      </c>
      <c r="S12" s="242">
        <f>2_Projections!S74*(12/3)*1_Assumptions!$F$137/360</f>
        <v/>
      </c>
      <c r="T12" s="242">
        <f>2_Projections!T74*(12/3)*1_Assumptions!$F$137/360</f>
        <v/>
      </c>
      <c r="U12" s="242">
        <f>2_Projections!U74*(12/3)*1_Assumptions!$F$137/360</f>
        <v/>
      </c>
      <c r="V12" s="242">
        <f>2_Projections!V74*(12/3)*1_Assumptions!$F$137/360</f>
        <v/>
      </c>
      <c r="W12" s="242">
        <f>2_Projections!W74*(12/3)*1_Assumptions!$F$137/360</f>
        <v/>
      </c>
      <c r="X12" s="242">
        <f>2_Projections!X74*(12/3)*1_Assumptions!$F$137/360</f>
        <v/>
      </c>
      <c r="Y12" s="242">
        <f>2_Projections!Y74*(12/3)*1_Assumptions!$F$137/360</f>
        <v/>
      </c>
      <c r="Z12" s="242">
        <f>2_Projections!Z74*(12/3)*1_Assumptions!$F$137/360</f>
        <v/>
      </c>
      <c r="AA12" s="242">
        <f>2_Projections!AA74*(12/3)*1_Assumptions!$F$137/360</f>
        <v/>
      </c>
      <c r="AB12" s="242">
        <f>2_Projections!AB74*(12/3)*1_Assumptions!$F$137/360</f>
        <v/>
      </c>
      <c r="AC12" s="242">
        <f>2_Projections!AC74*(12/3)*1_Assumptions!$F$137/360</f>
        <v/>
      </c>
    </row>
    <row r="13" ht="15" customHeight="1" s="160">
      <c r="A13" s="176" t="n"/>
      <c r="B13" s="177" t="inlineStr">
        <is>
          <t xml:space="preserve">  (Deferred Revenue placeholder — not modeled separately)</t>
        </is>
      </c>
      <c r="C13" s="178" t="inlineStr">
        <is>
          <t>€</t>
        </is>
      </c>
      <c r="D13" s="176" t="n"/>
      <c r="E13" s="243" t="n">
        <v>0</v>
      </c>
      <c r="F13" s="243" t="n">
        <v>0</v>
      </c>
      <c r="G13" s="243" t="n">
        <v>0</v>
      </c>
      <c r="H13" s="243" t="n">
        <v>0</v>
      </c>
      <c r="I13" s="243" t="n">
        <v>0</v>
      </c>
      <c r="J13" s="243" t="n">
        <v>0</v>
      </c>
      <c r="K13" s="243" t="n">
        <v>0</v>
      </c>
      <c r="L13" s="243" t="n">
        <v>0</v>
      </c>
      <c r="M13" s="243" t="n">
        <v>0</v>
      </c>
      <c r="N13" s="243" t="n">
        <v>0</v>
      </c>
      <c r="O13" s="243" t="n">
        <v>0</v>
      </c>
      <c r="P13" s="243" t="n">
        <v>0</v>
      </c>
      <c r="Q13" s="243" t="n">
        <v>0</v>
      </c>
      <c r="R13" s="243" t="n">
        <v>0</v>
      </c>
      <c r="S13" s="243" t="n">
        <v>0</v>
      </c>
      <c r="T13" s="243" t="n">
        <v>0</v>
      </c>
      <c r="U13" s="243" t="n">
        <v>0</v>
      </c>
      <c r="V13" s="243" t="n">
        <v>0</v>
      </c>
      <c r="W13" s="243" t="n">
        <v>0</v>
      </c>
      <c r="X13" s="243" t="n">
        <v>0</v>
      </c>
      <c r="Y13" s="243" t="n">
        <v>0</v>
      </c>
      <c r="Z13" s="243" t="n">
        <v>0</v>
      </c>
      <c r="AA13" s="243" t="n">
        <v>0</v>
      </c>
      <c r="AB13" s="243" t="n">
        <v>0</v>
      </c>
      <c r="AC13" s="243" t="n">
        <v>0</v>
      </c>
    </row>
    <row r="14" ht="15" customHeight="1" s="160">
      <c r="A14" s="181" t="n"/>
      <c r="B14" s="182" t="inlineStr">
        <is>
          <t>(−) Increase in Working Capital (ΔAR − ΔAP)</t>
        </is>
      </c>
      <c r="C14" s="183" t="inlineStr">
        <is>
          <t>€</t>
        </is>
      </c>
      <c r="D14" s="181" t="n"/>
      <c r="E14" s="242">
        <f>E11-E12</f>
        <v/>
      </c>
      <c r="F14" s="242">
        <f>(F11-E11)-(F12-E12)</f>
        <v/>
      </c>
      <c r="G14" s="242">
        <f>(G11-F11)-(G12-F12)</f>
        <v/>
      </c>
      <c r="H14" s="242">
        <f>(H11-G11)-(H12-G12)</f>
        <v/>
      </c>
      <c r="I14" s="242">
        <f>(I11-H11)-(I12-H12)</f>
        <v/>
      </c>
      <c r="J14" s="242">
        <f>(J11-I11)-(J12-I12)</f>
        <v/>
      </c>
      <c r="K14" s="242">
        <f>(K11-J11)-(K12-J12)</f>
        <v/>
      </c>
      <c r="L14" s="242">
        <f>(L11-K11)-(L12-K12)</f>
        <v/>
      </c>
      <c r="M14" s="242">
        <f>(M11-L11)-(M12-L12)</f>
        <v/>
      </c>
      <c r="N14" s="242">
        <f>(N11-M11)-(N12-M12)</f>
        <v/>
      </c>
      <c r="O14" s="242">
        <f>(O11-N11)-(O12-N12)</f>
        <v/>
      </c>
      <c r="P14" s="242">
        <f>(P11-O11)-(P12-O12)</f>
        <v/>
      </c>
      <c r="Q14" s="242">
        <f>(Q11-P11)-(Q12-P12)</f>
        <v/>
      </c>
      <c r="R14" s="242">
        <f>(R11-Q11)-(R12-Q12)</f>
        <v/>
      </c>
      <c r="S14" s="242">
        <f>(S11-R11)-(S12-R12)</f>
        <v/>
      </c>
      <c r="T14" s="242">
        <f>(T11-S11)-(T12-S12)</f>
        <v/>
      </c>
      <c r="U14" s="242">
        <f>(U11-T11)-(U12-T12)</f>
        <v/>
      </c>
      <c r="V14" s="242">
        <f>(V11-U11)-(V12-U12)</f>
        <v/>
      </c>
      <c r="W14" s="242">
        <f>(W11-V11)-(W12-V12)</f>
        <v/>
      </c>
      <c r="X14" s="242">
        <f>(X11-W11)-(X12-W12)</f>
        <v/>
      </c>
      <c r="Y14" s="242">
        <f>(Y11-X11)-(Y12-X12)</f>
        <v/>
      </c>
      <c r="Z14" s="242">
        <f>(Z11-Y11)-(Z12-Y12)</f>
        <v/>
      </c>
      <c r="AA14" s="242">
        <f>(AA11-Z11)-(AA12-Z12)</f>
        <v/>
      </c>
      <c r="AB14" s="242">
        <f>(AB11-AA11)-(AB12-AA12)</f>
        <v/>
      </c>
      <c r="AC14" s="242">
        <f>(AC11-AB11)-(AC12-AB12)</f>
        <v/>
      </c>
    </row>
    <row r="15" ht="15" customHeight="1" s="160">
      <c r="A15" s="246" t="n"/>
      <c r="B15" s="247" t="inlineStr">
        <is>
          <t>OPERATING CASH FLOW</t>
        </is>
      </c>
      <c r="C15" s="248" t="inlineStr">
        <is>
          <t>€</t>
        </is>
      </c>
      <c r="D15" s="249" t="n"/>
      <c r="E15" s="249">
        <f>E8-E9+E10-E14</f>
        <v/>
      </c>
      <c r="F15" s="249">
        <f>F8-F9+F10-F14</f>
        <v/>
      </c>
      <c r="G15" s="249">
        <f>G8-G9+G10-G14</f>
        <v/>
      </c>
      <c r="H15" s="249">
        <f>H8-H9+H10-H14</f>
        <v/>
      </c>
      <c r="I15" s="249">
        <f>I8-I9+I10-I14</f>
        <v/>
      </c>
      <c r="J15" s="249">
        <f>J8-J9+J10-J14</f>
        <v/>
      </c>
      <c r="K15" s="249">
        <f>K8-K9+K10-K14</f>
        <v/>
      </c>
      <c r="L15" s="249">
        <f>L8-L9+L10-L14</f>
        <v/>
      </c>
      <c r="M15" s="249">
        <f>M8-M9+M10-M14</f>
        <v/>
      </c>
      <c r="N15" s="249">
        <f>N8-N9+N10-N14</f>
        <v/>
      </c>
      <c r="O15" s="249">
        <f>O8-O9+O10-O14</f>
        <v/>
      </c>
      <c r="P15" s="249">
        <f>P8-P9+P10-P14</f>
        <v/>
      </c>
      <c r="Q15" s="249">
        <f>Q8-Q9+Q10-Q14</f>
        <v/>
      </c>
      <c r="R15" s="249">
        <f>R8-R9+R10-R14</f>
        <v/>
      </c>
      <c r="S15" s="249">
        <f>S8-S9+S10-S14</f>
        <v/>
      </c>
      <c r="T15" s="249">
        <f>T8-T9+T10-T14</f>
        <v/>
      </c>
      <c r="U15" s="249">
        <f>U8-U9+U10-U14</f>
        <v/>
      </c>
      <c r="V15" s="249">
        <f>V8-V9+V10-V14</f>
        <v/>
      </c>
      <c r="W15" s="249">
        <f>W8-W9+W10-W14</f>
        <v/>
      </c>
      <c r="X15" s="249">
        <f>X8-X9+X10-X14</f>
        <v/>
      </c>
      <c r="Y15" s="249">
        <f>Y8-Y9+Y10-Y14</f>
        <v/>
      </c>
      <c r="Z15" s="249">
        <f>Z8-Z9+Z10-Z14</f>
        <v/>
      </c>
      <c r="AA15" s="249">
        <f>AA8-AA9+AA10-AA14</f>
        <v/>
      </c>
      <c r="AB15" s="249">
        <f>AB8-AB9+AB10-AB14</f>
        <v/>
      </c>
      <c r="AC15" s="249">
        <f>AC8-AC9+AC10-AC14</f>
        <v/>
      </c>
    </row>
    <row r="16" ht="15" customHeight="1" s="160"/>
    <row r="17" ht="15" customHeight="1" s="160">
      <c r="A17" s="187" t="n"/>
      <c r="B17" s="188" t="inlineStr">
        <is>
          <t>B. INVESTING CASH FLOW</t>
        </is>
      </c>
      <c r="C17" s="187" t="n"/>
      <c r="D17" s="187" t="n"/>
      <c r="E17" s="187" t="n"/>
      <c r="F17" s="187" t="n"/>
      <c r="G17" s="187" t="n"/>
      <c r="H17" s="187" t="n"/>
      <c r="I17" s="187" t="n"/>
      <c r="J17" s="187" t="n"/>
      <c r="K17" s="187" t="n"/>
      <c r="L17" s="187" t="n"/>
      <c r="M17" s="187" t="n"/>
      <c r="N17" s="187" t="n"/>
      <c r="O17" s="187" t="n"/>
      <c r="P17" s="187" t="n"/>
      <c r="Q17" s="187" t="n"/>
      <c r="R17" s="187" t="n"/>
      <c r="S17" s="187" t="n"/>
      <c r="T17" s="187" t="n"/>
      <c r="U17" s="187" t="n"/>
      <c r="V17" s="187" t="n"/>
      <c r="W17" s="187" t="n"/>
      <c r="X17" s="187" t="n"/>
      <c r="Y17" s="187" t="n"/>
      <c r="Z17" s="187" t="n"/>
      <c r="AA17" s="187" t="n"/>
      <c r="AB17" s="187" t="n"/>
      <c r="AC17" s="187" t="n"/>
    </row>
    <row r="18" ht="15" customHeight="1" s="160">
      <c r="A18" s="181" t="n"/>
      <c r="B18" s="182" t="inlineStr">
        <is>
          <t>(−) CapEx</t>
        </is>
      </c>
      <c r="C18" s="183" t="inlineStr">
        <is>
          <t>€</t>
        </is>
      </c>
      <c r="D18" s="181" t="n"/>
      <c r="E18" s="242">
        <f>1_Assumptions!$F$142</f>
        <v/>
      </c>
      <c r="F18" s="242">
        <f>1_Assumptions!$F$143*1/12</f>
        <v/>
      </c>
      <c r="G18" s="252">
        <f>1_Assumptions!$F$143*1/12</f>
        <v/>
      </c>
      <c r="H18" s="242">
        <f>1_Assumptions!$F$143*1/12</f>
        <v/>
      </c>
      <c r="I18" s="242">
        <f>1_Assumptions!$F$143*1/12</f>
        <v/>
      </c>
      <c r="J18" s="242">
        <f>1_Assumptions!$F$143*1/12</f>
        <v/>
      </c>
      <c r="K18" s="242">
        <f>1_Assumptions!$F$143*1/12</f>
        <v/>
      </c>
      <c r="L18" s="242">
        <f>1_Assumptions!$F$143*1/12</f>
        <v/>
      </c>
      <c r="M18" s="242">
        <f>1_Assumptions!$F$143*1/12</f>
        <v/>
      </c>
      <c r="N18" s="242">
        <f>1_Assumptions!$F$143*3/12</f>
        <v/>
      </c>
      <c r="O18" s="242">
        <f>1_Assumptions!$F$143*3/12</f>
        <v/>
      </c>
      <c r="P18" s="242">
        <f>1_Assumptions!$F$143*3/12</f>
        <v/>
      </c>
      <c r="Q18" s="242">
        <f>1_Assumptions!$F$143*3/12</f>
        <v/>
      </c>
      <c r="R18" s="242">
        <f>1_Assumptions!$F$143*3/12</f>
        <v/>
      </c>
      <c r="S18" s="242">
        <f>1_Assumptions!$F$143*3/12</f>
        <v/>
      </c>
      <c r="T18" s="242">
        <f>1_Assumptions!$F$143*3/12</f>
        <v/>
      </c>
      <c r="U18" s="242">
        <f>1_Assumptions!$F$143*3/12</f>
        <v/>
      </c>
      <c r="V18" s="242">
        <f>1_Assumptions!$F$143*3/12</f>
        <v/>
      </c>
      <c r="W18" s="242">
        <f>1_Assumptions!$F$143*3/12</f>
        <v/>
      </c>
      <c r="X18" s="242">
        <f>1_Assumptions!$F$143*3/12</f>
        <v/>
      </c>
      <c r="Y18" s="242">
        <f>1_Assumptions!$F$143*3/12</f>
        <v/>
      </c>
      <c r="Z18" s="242">
        <f>1_Assumptions!$F$143*3/12</f>
        <v/>
      </c>
      <c r="AA18" s="242">
        <f>1_Assumptions!$F$143*3/12</f>
        <v/>
      </c>
      <c r="AB18" s="242">
        <f>1_Assumptions!$F$143*3/12</f>
        <v/>
      </c>
      <c r="AC18" s="242">
        <f>1_Assumptions!$F$143*3/12</f>
        <v/>
      </c>
    </row>
    <row r="19" ht="15" customHeight="1" s="160">
      <c r="A19" s="246" t="n"/>
      <c r="B19" s="247" t="inlineStr">
        <is>
          <t>FREE CASH FLOW TO FIRM (FCFF)</t>
        </is>
      </c>
      <c r="C19" s="248" t="inlineStr">
        <is>
          <t>€</t>
        </is>
      </c>
      <c r="D19" s="249" t="n"/>
      <c r="E19" s="249">
        <f>E15-E18</f>
        <v/>
      </c>
      <c r="F19" s="249">
        <f>F15-F18</f>
        <v/>
      </c>
      <c r="G19" s="249">
        <f>G15-G18</f>
        <v/>
      </c>
      <c r="H19" s="249">
        <f>H15-H18</f>
        <v/>
      </c>
      <c r="I19" s="249">
        <f>I15-I18</f>
        <v/>
      </c>
      <c r="J19" s="249">
        <f>J15-J18</f>
        <v/>
      </c>
      <c r="K19" s="249">
        <f>K15-K18</f>
        <v/>
      </c>
      <c r="L19" s="249">
        <f>L15-L18</f>
        <v/>
      </c>
      <c r="M19" s="249">
        <f>M15-M18</f>
        <v/>
      </c>
      <c r="N19" s="249">
        <f>N15-N18</f>
        <v/>
      </c>
      <c r="O19" s="249">
        <f>O15-O18</f>
        <v/>
      </c>
      <c r="P19" s="249">
        <f>P15-P18</f>
        <v/>
      </c>
      <c r="Q19" s="249">
        <f>Q15-Q18</f>
        <v/>
      </c>
      <c r="R19" s="249">
        <f>R15-R18</f>
        <v/>
      </c>
      <c r="S19" s="249">
        <f>S15-S18</f>
        <v/>
      </c>
      <c r="T19" s="249">
        <f>T15-T18</f>
        <v/>
      </c>
      <c r="U19" s="249">
        <f>U15-U18</f>
        <v/>
      </c>
      <c r="V19" s="249">
        <f>V15-V18</f>
        <v/>
      </c>
      <c r="W19" s="249">
        <f>W15-W18</f>
        <v/>
      </c>
      <c r="X19" s="249">
        <f>X15-X18</f>
        <v/>
      </c>
      <c r="Y19" s="249">
        <f>Y15-Y18</f>
        <v/>
      </c>
      <c r="Z19" s="249">
        <f>Z15-Z18</f>
        <v/>
      </c>
      <c r="AA19" s="249">
        <f>AA15-AA18</f>
        <v/>
      </c>
      <c r="AB19" s="249">
        <f>AB15-AB18</f>
        <v/>
      </c>
      <c r="AC19" s="249">
        <f>AC15-AC18</f>
        <v/>
      </c>
    </row>
    <row r="20" ht="15" customHeight="1" s="160"/>
    <row r="21" ht="15" customHeight="1" s="160">
      <c r="A21" s="187" t="n"/>
      <c r="B21" s="188" t="inlineStr">
        <is>
          <t>C. FINANCING CASH FLOW</t>
        </is>
      </c>
      <c r="C21" s="187" t="n"/>
      <c r="D21" s="187" t="n"/>
      <c r="E21" s="187" t="n"/>
      <c r="F21" s="187" t="n"/>
      <c r="G21" s="187" t="n"/>
      <c r="H21" s="187" t="n"/>
      <c r="I21" s="187" t="n"/>
      <c r="J21" s="187" t="n"/>
      <c r="K21" s="187" t="n"/>
      <c r="L21" s="187" t="n"/>
      <c r="M21" s="187" t="n"/>
      <c r="N21" s="187" t="n"/>
      <c r="O21" s="187" t="n"/>
      <c r="P21" s="187" t="n"/>
      <c r="Q21" s="187" t="n"/>
      <c r="R21" s="187" t="n"/>
      <c r="S21" s="187" t="n"/>
      <c r="T21" s="187" t="n"/>
      <c r="U21" s="187" t="n"/>
      <c r="V21" s="187" t="n"/>
      <c r="W21" s="187" t="n"/>
      <c r="X21" s="187" t="n"/>
      <c r="Y21" s="187" t="n"/>
      <c r="Z21" s="187" t="n"/>
      <c r="AA21" s="187" t="n"/>
      <c r="AB21" s="187" t="n"/>
      <c r="AC21" s="187" t="n"/>
    </row>
    <row r="22" ht="15" customHeight="1" s="160">
      <c r="A22" s="181" t="n"/>
      <c r="B22" s="182" t="inlineStr">
        <is>
          <t>(+) Equity Raised</t>
        </is>
      </c>
      <c r="C22" s="183" t="inlineStr">
        <is>
          <t>€</t>
        </is>
      </c>
      <c r="D22" s="181" t="n"/>
      <c r="E22" s="242">
        <f>D5</f>
        <v/>
      </c>
      <c r="F22" s="245" t="n">
        <v>0</v>
      </c>
      <c r="G22" s="245" t="n">
        <v>0</v>
      </c>
      <c r="H22" s="245" t="n">
        <v>0</v>
      </c>
      <c r="I22" s="245" t="n">
        <v>0</v>
      </c>
      <c r="J22" s="245" t="n">
        <v>0</v>
      </c>
      <c r="K22" s="245" t="n">
        <v>0</v>
      </c>
      <c r="L22" s="245" t="n">
        <v>0</v>
      </c>
      <c r="M22" s="245" t="n">
        <v>0</v>
      </c>
      <c r="N22" s="245" t="n">
        <v>0</v>
      </c>
      <c r="O22" s="245" t="n">
        <v>0</v>
      </c>
      <c r="P22" s="245" t="n">
        <v>0</v>
      </c>
      <c r="Q22" s="245" t="n">
        <v>0</v>
      </c>
      <c r="R22" s="245" t="n">
        <v>0</v>
      </c>
      <c r="S22" s="245" t="n">
        <v>0</v>
      </c>
      <c r="T22" s="245" t="n">
        <v>0</v>
      </c>
      <c r="U22" s="245" t="n">
        <v>0</v>
      </c>
      <c r="V22" s="245" t="n">
        <v>0</v>
      </c>
      <c r="W22" s="245" t="n">
        <v>0</v>
      </c>
      <c r="X22" s="245" t="n">
        <v>0</v>
      </c>
      <c r="Y22" s="245" t="n">
        <v>0</v>
      </c>
      <c r="Z22" s="245" t="n">
        <v>0</v>
      </c>
      <c r="AA22" s="245" t="n">
        <v>0</v>
      </c>
      <c r="AB22" s="245" t="n">
        <v>0</v>
      </c>
      <c r="AC22" s="245" t="n">
        <v>0</v>
      </c>
    </row>
    <row r="23" ht="15" customHeight="1" s="160">
      <c r="A23" s="176" t="n"/>
      <c r="B23" s="177" t="inlineStr">
        <is>
          <t>CASH FROM FINANCING</t>
        </is>
      </c>
      <c r="C23" s="178" t="inlineStr">
        <is>
          <t>€</t>
        </is>
      </c>
      <c r="D23" s="176" t="n"/>
      <c r="E23" s="244">
        <f>E22</f>
        <v/>
      </c>
      <c r="F23" s="244">
        <f>F22</f>
        <v/>
      </c>
      <c r="G23" s="244">
        <f>G22</f>
        <v/>
      </c>
      <c r="H23" s="244">
        <f>H22</f>
        <v/>
      </c>
      <c r="I23" s="244">
        <f>I22</f>
        <v/>
      </c>
      <c r="J23" s="244">
        <f>J22</f>
        <v/>
      </c>
      <c r="K23" s="244">
        <f>K22</f>
        <v/>
      </c>
      <c r="L23" s="244">
        <f>L22</f>
        <v/>
      </c>
      <c r="M23" s="244">
        <f>M22</f>
        <v/>
      </c>
      <c r="N23" s="244">
        <f>N22</f>
        <v/>
      </c>
      <c r="O23" s="244">
        <f>O22</f>
        <v/>
      </c>
      <c r="P23" s="244">
        <f>P22</f>
        <v/>
      </c>
      <c r="Q23" s="244">
        <f>Q22</f>
        <v/>
      </c>
      <c r="R23" s="244">
        <f>R22</f>
        <v/>
      </c>
      <c r="S23" s="244">
        <f>S22</f>
        <v/>
      </c>
      <c r="T23" s="244">
        <f>T22</f>
        <v/>
      </c>
      <c r="U23" s="244">
        <f>U22</f>
        <v/>
      </c>
      <c r="V23" s="244">
        <f>V22</f>
        <v/>
      </c>
      <c r="W23" s="244">
        <f>W22</f>
        <v/>
      </c>
      <c r="X23" s="244">
        <f>X22</f>
        <v/>
      </c>
      <c r="Y23" s="244">
        <f>Y22</f>
        <v/>
      </c>
      <c r="Z23" s="244">
        <f>Z22</f>
        <v/>
      </c>
      <c r="AA23" s="244">
        <f>AA22</f>
        <v/>
      </c>
      <c r="AB23" s="244">
        <f>AB22</f>
        <v/>
      </c>
      <c r="AC23" s="244">
        <f>AC22</f>
        <v/>
      </c>
    </row>
    <row r="24" ht="15" customHeight="1" s="160"/>
    <row r="25" ht="15" customHeight="1" s="160">
      <c r="A25" s="187" t="n"/>
      <c r="B25" s="188" t="inlineStr">
        <is>
          <t>D. NET CASH FLOW &amp; CUMULATIVE BALANCE</t>
        </is>
      </c>
      <c r="C25" s="187" t="n"/>
      <c r="D25" s="187" t="n"/>
      <c r="E25" s="187" t="n"/>
      <c r="F25" s="187" t="n"/>
      <c r="G25" s="187" t="n"/>
      <c r="H25" s="187" t="n"/>
      <c r="I25" s="187" t="n"/>
      <c r="J25" s="187" t="n"/>
      <c r="K25" s="187" t="n"/>
      <c r="L25" s="187" t="n"/>
      <c r="M25" s="187" t="n"/>
      <c r="N25" s="187" t="n"/>
      <c r="O25" s="187" t="n"/>
      <c r="P25" s="187" t="n"/>
      <c r="Q25" s="187" t="n"/>
      <c r="R25" s="187" t="n"/>
      <c r="S25" s="187" t="n"/>
      <c r="T25" s="187" t="n"/>
      <c r="U25" s="187" t="n"/>
      <c r="V25" s="187" t="n"/>
      <c r="W25" s="187" t="n"/>
      <c r="X25" s="187" t="n"/>
      <c r="Y25" s="187" t="n"/>
      <c r="Z25" s="187" t="n"/>
      <c r="AA25" s="187" t="n"/>
      <c r="AB25" s="187" t="n"/>
      <c r="AC25" s="187" t="n"/>
    </row>
    <row r="26" ht="15" customHeight="1" s="160">
      <c r="A26" s="181" t="n"/>
      <c r="B26" s="182" t="inlineStr">
        <is>
          <t>Net Cash Flow</t>
        </is>
      </c>
      <c r="C26" s="183" t="inlineStr">
        <is>
          <t>€</t>
        </is>
      </c>
      <c r="D26" s="181" t="n"/>
      <c r="E26" s="242">
        <f>E19+E23</f>
        <v/>
      </c>
      <c r="F26" s="242">
        <f>F19+F23</f>
        <v/>
      </c>
      <c r="G26" s="242">
        <f>G19+G23</f>
        <v/>
      </c>
      <c r="H26" s="242">
        <f>H19+H23</f>
        <v/>
      </c>
      <c r="I26" s="242">
        <f>I19+I23</f>
        <v/>
      </c>
      <c r="J26" s="242">
        <f>J19+J23</f>
        <v/>
      </c>
      <c r="K26" s="242">
        <f>K19+K23</f>
        <v/>
      </c>
      <c r="L26" s="242">
        <f>L19+L23</f>
        <v/>
      </c>
      <c r="M26" s="242">
        <f>M19+M23</f>
        <v/>
      </c>
      <c r="N26" s="242">
        <f>N19+N23</f>
        <v/>
      </c>
      <c r="O26" s="242">
        <f>O19+O23</f>
        <v/>
      </c>
      <c r="P26" s="242">
        <f>P19+P23</f>
        <v/>
      </c>
      <c r="Q26" s="242">
        <f>Q19+Q23</f>
        <v/>
      </c>
      <c r="R26" s="242">
        <f>R19+R23</f>
        <v/>
      </c>
      <c r="S26" s="242">
        <f>S19+S23</f>
        <v/>
      </c>
      <c r="T26" s="242">
        <f>T19+T23</f>
        <v/>
      </c>
      <c r="U26" s="242">
        <f>U19+U23</f>
        <v/>
      </c>
      <c r="V26" s="242">
        <f>V19+V23</f>
        <v/>
      </c>
      <c r="W26" s="242">
        <f>W19+W23</f>
        <v/>
      </c>
      <c r="X26" s="242">
        <f>X19+X23</f>
        <v/>
      </c>
      <c r="Y26" s="242">
        <f>Y19+Y23</f>
        <v/>
      </c>
      <c r="Z26" s="242">
        <f>Z19+Z23</f>
        <v/>
      </c>
      <c r="AA26" s="242">
        <f>AA19+AA23</f>
        <v/>
      </c>
      <c r="AB26" s="242">
        <f>AB19+AB23</f>
        <v/>
      </c>
      <c r="AC26" s="242">
        <f>AC19+AC23</f>
        <v/>
      </c>
    </row>
    <row r="27" ht="15" customHeight="1" s="160">
      <c r="A27" s="246" t="n"/>
      <c r="B27" s="247" t="inlineStr">
        <is>
          <t>CUMULATIVE CASH BALANCE</t>
        </is>
      </c>
      <c r="C27" s="248" t="inlineStr">
        <is>
          <t>€</t>
        </is>
      </c>
      <c r="D27" s="249" t="n"/>
      <c r="E27" s="249">
        <f>E26</f>
        <v/>
      </c>
      <c r="F27" s="249">
        <f>E27+F26</f>
        <v/>
      </c>
      <c r="G27" s="249">
        <f>F27+G26</f>
        <v/>
      </c>
      <c r="H27" s="249">
        <f>G27+H26</f>
        <v/>
      </c>
      <c r="I27" s="249">
        <f>H27+I26</f>
        <v/>
      </c>
      <c r="J27" s="249">
        <f>I27+J26</f>
        <v/>
      </c>
      <c r="K27" s="249">
        <f>J27+K26</f>
        <v/>
      </c>
      <c r="L27" s="249">
        <f>K27+L26</f>
        <v/>
      </c>
      <c r="M27" s="249">
        <f>L27+M26</f>
        <v/>
      </c>
      <c r="N27" s="249">
        <f>M27+N26</f>
        <v/>
      </c>
      <c r="O27" s="249">
        <f>N27+O26</f>
        <v/>
      </c>
      <c r="P27" s="249">
        <f>O27+P26</f>
        <v/>
      </c>
      <c r="Q27" s="249">
        <f>P27+Q26</f>
        <v/>
      </c>
      <c r="R27" s="249">
        <f>Q27+R26</f>
        <v/>
      </c>
      <c r="S27" s="249">
        <f>R27+S26</f>
        <v/>
      </c>
      <c r="T27" s="249">
        <f>S27+T26</f>
        <v/>
      </c>
      <c r="U27" s="249">
        <f>T27+U26</f>
        <v/>
      </c>
      <c r="V27" s="249">
        <f>U27+V26</f>
        <v/>
      </c>
      <c r="W27" s="249">
        <f>V27+W26</f>
        <v/>
      </c>
      <c r="X27" s="249">
        <f>W27+X26</f>
        <v/>
      </c>
      <c r="Y27" s="249">
        <f>X27+Y26</f>
        <v/>
      </c>
      <c r="Z27" s="249">
        <f>Y27+Z26</f>
        <v/>
      </c>
      <c r="AA27" s="249">
        <f>Z27+AA26</f>
        <v/>
      </c>
      <c r="AB27" s="249">
        <f>AA27+AB26</f>
        <v/>
      </c>
      <c r="AC27" s="249">
        <f>AB27+AC26</f>
        <v/>
      </c>
    </row>
    <row r="28" ht="15" customHeight="1" s="160">
      <c r="A28" s="181" t="n"/>
      <c r="B28" s="182" t="inlineStr">
        <is>
          <t>Monthly Burn Rate (if negative)</t>
        </is>
      </c>
      <c r="C28" s="183" t="inlineStr">
        <is>
          <t>€</t>
        </is>
      </c>
      <c r="D28" s="181" t="n"/>
      <c r="E28" s="242">
        <f>IFERROR(MAX(-E26/1,0),0)</f>
        <v/>
      </c>
      <c r="F28" s="242">
        <f>IFERROR(MAX(-F26/1,0),0)</f>
        <v/>
      </c>
      <c r="G28" s="252">
        <f>IFERROR(MAX(-G26/1,0),0)</f>
        <v/>
      </c>
      <c r="H28" s="242">
        <f>IFERROR(MAX(-H26/1,0),0)</f>
        <v/>
      </c>
      <c r="I28" s="242">
        <f>IFERROR(MAX(-I26/1,0),0)</f>
        <v/>
      </c>
      <c r="J28" s="242">
        <f>IFERROR(MAX(-J26/1,0),0)</f>
        <v/>
      </c>
      <c r="K28" s="242">
        <f>IFERROR(MAX(-K26/1,0),0)</f>
        <v/>
      </c>
      <c r="L28" s="242">
        <f>IFERROR(MAX(-L26/1,0),0)</f>
        <v/>
      </c>
      <c r="M28" s="242">
        <f>IFERROR(MAX(-M26/1,0),0)</f>
        <v/>
      </c>
      <c r="N28" s="242">
        <f>IFERROR(MAX(-N26/3,0),0)</f>
        <v/>
      </c>
      <c r="O28" s="242">
        <f>IFERROR(MAX(-O26/3,0),0)</f>
        <v/>
      </c>
      <c r="P28" s="242">
        <f>IFERROR(MAX(-P26/3,0),0)</f>
        <v/>
      </c>
      <c r="Q28" s="242">
        <f>IFERROR(MAX(-Q26/3,0),0)</f>
        <v/>
      </c>
      <c r="R28" s="242">
        <f>IFERROR(MAX(-R26/3,0),0)</f>
        <v/>
      </c>
      <c r="S28" s="242">
        <f>IFERROR(MAX(-S26/3,0),0)</f>
        <v/>
      </c>
      <c r="T28" s="242">
        <f>IFERROR(MAX(-T26/3,0),0)</f>
        <v/>
      </c>
      <c r="U28" s="242">
        <f>IFERROR(MAX(-U26/3,0),0)</f>
        <v/>
      </c>
      <c r="V28" s="242">
        <f>IFERROR(MAX(-V26/3,0),0)</f>
        <v/>
      </c>
      <c r="W28" s="242">
        <f>IFERROR(MAX(-W26/3,0),0)</f>
        <v/>
      </c>
      <c r="X28" s="242">
        <f>IFERROR(MAX(-X26/3,0),0)</f>
        <v/>
      </c>
      <c r="Y28" s="242">
        <f>IFERROR(MAX(-Y26/3,0),0)</f>
        <v/>
      </c>
      <c r="Z28" s="242">
        <f>IFERROR(MAX(-Z26/3,0),0)</f>
        <v/>
      </c>
      <c r="AA28" s="242">
        <f>IFERROR(MAX(-AA26/3,0),0)</f>
        <v/>
      </c>
      <c r="AB28" s="242">
        <f>IFERROR(MAX(-AB26/3,0),0)</f>
        <v/>
      </c>
      <c r="AC28" s="242">
        <f>IFERROR(MAX(-AC26/3,0),0)</f>
        <v/>
      </c>
    </row>
    <row r="29" ht="15" customHeight="1" s="160">
      <c r="A29" s="176" t="n"/>
      <c r="B29" s="177" t="inlineStr">
        <is>
          <t>Runway (months at current burn)</t>
        </is>
      </c>
      <c r="C29" s="178" t="inlineStr">
        <is>
          <t>mths</t>
        </is>
      </c>
      <c r="D29" s="176" t="n"/>
      <c r="E29" s="258">
        <f>IFERROR(IF(E28&gt;0,E27/E28,99),99)</f>
        <v/>
      </c>
      <c r="F29" s="258">
        <f>IFERROR(IF(F28&gt;0,F27/F28,99),99)</f>
        <v/>
      </c>
      <c r="G29" s="259">
        <f>IFERROR(IF(G28&gt;0,G27/G28,99),99)</f>
        <v/>
      </c>
      <c r="H29" s="258">
        <f>IFERROR(IF(H28&gt;0,H27/H28,99),99)</f>
        <v/>
      </c>
      <c r="I29" s="258">
        <f>IFERROR(IF(I28&gt;0,I27/I28,99),99)</f>
        <v/>
      </c>
      <c r="J29" s="258">
        <f>IFERROR(IF(J28&gt;0,J27/J28,99),99)</f>
        <v/>
      </c>
      <c r="K29" s="258">
        <f>IFERROR(IF(K28&gt;0,K27/K28,99),99)</f>
        <v/>
      </c>
      <c r="L29" s="258">
        <f>IFERROR(IF(L28&gt;0,L27/L28,99),99)</f>
        <v/>
      </c>
      <c r="M29" s="258">
        <f>IFERROR(IF(M28&gt;0,M27/M28,99),99)</f>
        <v/>
      </c>
      <c r="N29" s="258">
        <f>IFERROR(IF(N28&gt;0,N27/N28,99),99)</f>
        <v/>
      </c>
      <c r="O29" s="258">
        <f>IFERROR(IF(O28&gt;0,O27/O28,99),99)</f>
        <v/>
      </c>
      <c r="P29" s="258">
        <f>IFERROR(IF(P28&gt;0,P27/P28,99),99)</f>
        <v/>
      </c>
      <c r="Q29" s="258">
        <f>IFERROR(IF(Q28&gt;0,Q27/Q28,99),99)</f>
        <v/>
      </c>
      <c r="R29" s="258">
        <f>IFERROR(IF(R28&gt;0,R27/R28,99),99)</f>
        <v/>
      </c>
      <c r="S29" s="258">
        <f>IFERROR(IF(S28&gt;0,S27/S28,99),99)</f>
        <v/>
      </c>
      <c r="T29" s="258">
        <f>IFERROR(IF(T28&gt;0,T27/T28,99),99)</f>
        <v/>
      </c>
      <c r="U29" s="258">
        <f>IFERROR(IF(U28&gt;0,U27/U28,99),99)</f>
        <v/>
      </c>
      <c r="V29" s="258">
        <f>IFERROR(IF(V28&gt;0,V27/V28,99),99)</f>
        <v/>
      </c>
      <c r="W29" s="258">
        <f>IFERROR(IF(W28&gt;0,W27/W28,99),99)</f>
        <v/>
      </c>
      <c r="X29" s="258">
        <f>IFERROR(IF(X28&gt;0,X27/X28,99),99)</f>
        <v/>
      </c>
      <c r="Y29" s="258">
        <f>IFERROR(IF(Y28&gt;0,Y27/Y28,99),99)</f>
        <v/>
      </c>
      <c r="Z29" s="258">
        <f>IFERROR(IF(Z28&gt;0,Z27/Z28,99),99)</f>
        <v/>
      </c>
      <c r="AA29" s="258">
        <f>IFERROR(IF(AA28&gt;0,AA27/AA28,99),99)</f>
        <v/>
      </c>
      <c r="AB29" s="258">
        <f>IFERROR(IF(AB28&gt;0,AB27/AB28,99),99)</f>
        <v/>
      </c>
      <c r="AC29" s="258">
        <f>IFERROR(IF(AC28&gt;0,AC27/AC28,99),99)</f>
        <v/>
      </c>
    </row>
    <row r="30" ht="15" customHeight="1" s="160">
      <c r="A30" s="181" t="n"/>
      <c r="B30" s="182" t="inlineStr">
        <is>
          <t>⚠ Fundraising Alert</t>
        </is>
      </c>
      <c r="C30" s="183" t="n"/>
      <c r="D30" s="260" t="n"/>
      <c r="E30" s="260">
        <f>IF(E29&lt;6,"⚠ RAISE NOW",IF(E29&lt;9,"▲ Start fundraising",""))</f>
        <v/>
      </c>
      <c r="F30" s="260">
        <f>IF(F29&lt;6,"⚠ RAISE NOW",IF(F29&lt;9,"▲ Start fundraising",""))</f>
        <v/>
      </c>
      <c r="G30" s="260">
        <f>IF(G29&lt;6,"⚠ RAISE NOW",IF(G29&lt;9,"▲ Start fundraising",""))</f>
        <v/>
      </c>
      <c r="H30" s="260">
        <f>IF(H29&lt;6,"⚠ RAISE NOW",IF(H29&lt;9,"▲ Start fundraising",""))</f>
        <v/>
      </c>
      <c r="I30" s="260">
        <f>IF(I29&lt;6,"⚠ RAISE NOW",IF(I29&lt;9,"▲ Start fundraising",""))</f>
        <v/>
      </c>
      <c r="J30" s="260">
        <f>IF(J29&lt;6,"⚠ RAISE NOW",IF(J29&lt;9,"▲ Start fundraising",""))</f>
        <v/>
      </c>
      <c r="K30" s="260">
        <f>IF(K29&lt;6,"⚠ RAISE NOW",IF(K29&lt;9,"▲ Start fundraising",""))</f>
        <v/>
      </c>
      <c r="L30" s="260">
        <f>IF(L29&lt;6,"⚠ RAISE NOW",IF(L29&lt;9,"▲ Start fundraising",""))</f>
        <v/>
      </c>
      <c r="M30" s="260">
        <f>IF(M29&lt;6,"⚠ RAISE NOW",IF(M29&lt;9,"▲ Start fundraising",""))</f>
        <v/>
      </c>
      <c r="N30" s="260">
        <f>IF(N29&lt;6,"⚠ RAISE NOW",IF(N29&lt;9,"▲ Start fundraising",""))</f>
        <v/>
      </c>
      <c r="O30" s="260">
        <f>IF(O29&lt;6,"⚠ RAISE NOW",IF(O29&lt;9,"▲ Start fundraising",""))</f>
        <v/>
      </c>
      <c r="P30" s="260">
        <f>IF(P29&lt;6,"⚠ RAISE NOW",IF(P29&lt;9,"▲ Start fundraising",""))</f>
        <v/>
      </c>
      <c r="Q30" s="260">
        <f>IF(Q29&lt;6,"⚠ RAISE NOW",IF(Q29&lt;9,"▲ Start fundraising",""))</f>
        <v/>
      </c>
      <c r="R30" s="260">
        <f>IF(R29&lt;6,"⚠ RAISE NOW",IF(R29&lt;9,"▲ Start fundraising",""))</f>
        <v/>
      </c>
      <c r="S30" s="260">
        <f>IF(S29&lt;6,"⚠ RAISE NOW",IF(S29&lt;9,"▲ Start fundraising",""))</f>
        <v/>
      </c>
      <c r="T30" s="260">
        <f>IF(T29&lt;6,"⚠ RAISE NOW",IF(T29&lt;9,"▲ Start fundraising",""))</f>
        <v/>
      </c>
      <c r="U30" s="260">
        <f>IF(U29&lt;6,"⚠ RAISE NOW",IF(U29&lt;9,"▲ Start fundraising",""))</f>
        <v/>
      </c>
      <c r="V30" s="260">
        <f>IF(V29&lt;6,"⚠ RAISE NOW",IF(V29&lt;9,"▲ Start fundraising",""))</f>
        <v/>
      </c>
      <c r="W30" s="260">
        <f>IF(W29&lt;6,"⚠ RAISE NOW",IF(W29&lt;9,"▲ Start fundraising",""))</f>
        <v/>
      </c>
      <c r="X30" s="260">
        <f>IF(X29&lt;6,"⚠ RAISE NOW",IF(X29&lt;9,"▲ Start fundraising",""))</f>
        <v/>
      </c>
      <c r="Y30" s="260">
        <f>IF(Y29&lt;6,"⚠ RAISE NOW",IF(Y29&lt;9,"▲ Start fundraising",""))</f>
        <v/>
      </c>
      <c r="Z30" s="260">
        <f>IF(Z29&lt;6,"⚠ RAISE NOW",IF(Z29&lt;9,"▲ Start fundraising",""))</f>
        <v/>
      </c>
      <c r="AA30" s="260">
        <f>IF(AA29&lt;6,"⚠ RAISE NOW",IF(AA29&lt;9,"▲ Start fundraising",""))</f>
        <v/>
      </c>
      <c r="AB30" s="260">
        <f>IF(AB29&lt;6,"⚠ RAISE NOW",IF(AB29&lt;9,"▲ Start fundraising",""))</f>
        <v/>
      </c>
      <c r="AC30" s="260">
        <f>IF(AC29&lt;6,"⚠ RAISE NOW",IF(AC29&lt;9,"▲ Start fundraising",""))</f>
        <v/>
      </c>
    </row>
  </sheetData>
  <mergeCells count="6">
    <mergeCell ref="E2:M2"/>
    <mergeCell ref="A1:AC1"/>
    <mergeCell ref="V2:Y2"/>
    <mergeCell ref="Z2:AC2"/>
    <mergeCell ref="N2:Q2"/>
    <mergeCell ref="R2:U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C25"/>
  <sheetViews>
    <sheetView showFormulas="0" showGridLines="1" showRowColHeaders="1" showZeros="1" rightToLeft="0" tabSelected="0" showOutlineSymbols="1" defaultGridColor="1" view="normal" topLeftCell="A1" colorId="64" zoomScale="96" zoomScaleNormal="96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5703125" defaultRowHeight="14.25" customHeight="0" zeroHeight="0" outlineLevelRow="0"/>
  <cols>
    <col width="3" customWidth="1" style="159" min="1" max="1"/>
    <col width="52" customWidth="1" style="159" min="2" max="2"/>
    <col width="6" customWidth="1" style="159" min="3" max="3"/>
    <col width="13" customWidth="1" style="159" min="5" max="29"/>
  </cols>
  <sheetData>
    <row r="1" ht="15" customHeight="1" s="160">
      <c r="A1" s="166" t="inlineStr">
        <is>
          <t xml:space="preserve">  4_BalanceSheet  |  Assets = Liabilities + Equity  |  Monthly Year 1, Quarterly Years 2-5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167" t="n"/>
      <c r="T1" s="167" t="n"/>
      <c r="U1" s="167" t="n"/>
      <c r="V1" s="167" t="n"/>
      <c r="W1" s="167" t="n"/>
      <c r="X1" s="167" t="n"/>
      <c r="Y1" s="167" t="n"/>
      <c r="Z1" s="167" t="n"/>
      <c r="AA1" s="167" t="n"/>
      <c r="AB1" s="167" t="n"/>
      <c r="AC1" s="167" t="n"/>
    </row>
    <row r="2" ht="15" customHeight="1" s="160">
      <c r="E2" s="257" t="inlineStr">
        <is>
          <t>2026 (Monthly)</t>
        </is>
      </c>
      <c r="N2" s="257" t="inlineStr">
        <is>
          <t>2027</t>
        </is>
      </c>
      <c r="R2" s="257" t="inlineStr">
        <is>
          <t>2028</t>
        </is>
      </c>
      <c r="V2" s="257" t="inlineStr">
        <is>
          <t>2029</t>
        </is>
      </c>
      <c r="Z2" s="257" t="inlineStr">
        <is>
          <t>2030</t>
        </is>
      </c>
    </row>
    <row r="3" ht="15" customHeight="1" s="160">
      <c r="A3" s="169" t="n"/>
      <c r="B3" s="170" t="inlineStr">
        <is>
          <t>Balance Sheet Item</t>
        </is>
      </c>
      <c r="C3" s="229" t="inlineStr">
        <is>
          <t>Units</t>
        </is>
      </c>
      <c r="D3" s="169" t="n"/>
      <c r="E3" s="230" t="inlineStr">
        <is>
          <t>Apr</t>
        </is>
      </c>
      <c r="F3" s="230" t="inlineStr">
        <is>
          <t>May</t>
        </is>
      </c>
      <c r="G3" s="230" t="inlineStr">
        <is>
          <t>Jun</t>
        </is>
      </c>
      <c r="H3" s="230" t="inlineStr">
        <is>
          <t>Jul</t>
        </is>
      </c>
      <c r="I3" s="230" t="inlineStr">
        <is>
          <t>Aug</t>
        </is>
      </c>
      <c r="J3" s="230" t="inlineStr">
        <is>
          <t>Sep</t>
        </is>
      </c>
      <c r="K3" s="230" t="inlineStr">
        <is>
          <t>Oct</t>
        </is>
      </c>
      <c r="L3" s="230" t="inlineStr">
        <is>
          <t>Nov</t>
        </is>
      </c>
      <c r="M3" s="230" t="inlineStr">
        <is>
          <t>Dec</t>
        </is>
      </c>
      <c r="N3" s="230" t="inlineStr">
        <is>
          <t>Q1</t>
        </is>
      </c>
      <c r="O3" s="230" t="inlineStr">
        <is>
          <t>Q2</t>
        </is>
      </c>
      <c r="P3" s="230" t="inlineStr">
        <is>
          <t>Q3</t>
        </is>
      </c>
      <c r="Q3" s="230" t="inlineStr">
        <is>
          <t>Q4</t>
        </is>
      </c>
      <c r="R3" s="230" t="inlineStr">
        <is>
          <t>Q1</t>
        </is>
      </c>
      <c r="S3" s="230" t="inlineStr">
        <is>
          <t>Q2</t>
        </is>
      </c>
      <c r="T3" s="230" t="inlineStr">
        <is>
          <t>Q3</t>
        </is>
      </c>
      <c r="U3" s="230" t="inlineStr">
        <is>
          <t>Q4</t>
        </is>
      </c>
      <c r="V3" s="230" t="inlineStr">
        <is>
          <t>Q1</t>
        </is>
      </c>
      <c r="W3" s="230" t="inlineStr">
        <is>
          <t>Q2</t>
        </is>
      </c>
      <c r="X3" s="230" t="inlineStr">
        <is>
          <t>Q3</t>
        </is>
      </c>
      <c r="Y3" s="230" t="inlineStr">
        <is>
          <t>Q4</t>
        </is>
      </c>
      <c r="Z3" s="230" t="inlineStr">
        <is>
          <t>Q1</t>
        </is>
      </c>
      <c r="AA3" s="230" t="inlineStr">
        <is>
          <t>Q2</t>
        </is>
      </c>
      <c r="AB3" s="230" t="inlineStr">
        <is>
          <t>Q3</t>
        </is>
      </c>
      <c r="AC3" s="230" t="inlineStr">
        <is>
          <t>Q4</t>
        </is>
      </c>
    </row>
    <row r="5" ht="15" customHeight="1" s="160">
      <c r="B5" s="173" t="inlineStr">
        <is>
          <t>ASSETS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</row>
    <row r="6" ht="15" customHeight="1" s="160">
      <c r="A6" s="181" t="n"/>
      <c r="B6" s="182" t="inlineStr">
        <is>
          <t>Cash &amp; Cash Equivalents</t>
        </is>
      </c>
      <c r="C6" s="183" t="inlineStr">
        <is>
          <t>€</t>
        </is>
      </c>
      <c r="D6" s="181" t="n"/>
      <c r="E6" s="242">
        <f>3_CashFlow!E27</f>
        <v/>
      </c>
      <c r="F6" s="242">
        <f>3_CashFlow!F27</f>
        <v/>
      </c>
      <c r="G6" s="242">
        <f>3_CashFlow!G27</f>
        <v/>
      </c>
      <c r="H6" s="242">
        <f>3_CashFlow!H27</f>
        <v/>
      </c>
      <c r="I6" s="242">
        <f>3_CashFlow!I27</f>
        <v/>
      </c>
      <c r="J6" s="242">
        <f>3_CashFlow!J27</f>
        <v/>
      </c>
      <c r="K6" s="242">
        <f>3_CashFlow!K27</f>
        <v/>
      </c>
      <c r="L6" s="242">
        <f>3_CashFlow!L27</f>
        <v/>
      </c>
      <c r="M6" s="242">
        <f>3_CashFlow!M27</f>
        <v/>
      </c>
      <c r="N6" s="242">
        <f>3_CashFlow!N27</f>
        <v/>
      </c>
      <c r="O6" s="242">
        <f>3_CashFlow!O27</f>
        <v/>
      </c>
      <c r="P6" s="242">
        <f>3_CashFlow!P27</f>
        <v/>
      </c>
      <c r="Q6" s="242">
        <f>3_CashFlow!Q27</f>
        <v/>
      </c>
      <c r="R6" s="242">
        <f>3_CashFlow!R27</f>
        <v/>
      </c>
      <c r="S6" s="242">
        <f>3_CashFlow!S27</f>
        <v/>
      </c>
      <c r="T6" s="242">
        <f>3_CashFlow!T27</f>
        <v/>
      </c>
      <c r="U6" s="242">
        <f>3_CashFlow!U27</f>
        <v/>
      </c>
      <c r="V6" s="242">
        <f>3_CashFlow!V27</f>
        <v/>
      </c>
      <c r="W6" s="242">
        <f>3_CashFlow!W27</f>
        <v/>
      </c>
      <c r="X6" s="242">
        <f>3_CashFlow!X27</f>
        <v/>
      </c>
      <c r="Y6" s="242">
        <f>3_CashFlow!Y27</f>
        <v/>
      </c>
      <c r="Z6" s="242">
        <f>3_CashFlow!Z27</f>
        <v/>
      </c>
      <c r="AA6" s="242">
        <f>3_CashFlow!AA27</f>
        <v/>
      </c>
      <c r="AB6" s="242">
        <f>3_CashFlow!AB27</f>
        <v/>
      </c>
      <c r="AC6" s="242">
        <f>3_CashFlow!AC27</f>
        <v/>
      </c>
    </row>
    <row r="7" ht="15" customHeight="1" s="160">
      <c r="A7" s="176" t="n"/>
      <c r="B7" s="177" t="inlineStr">
        <is>
          <t>Accounts Receivable</t>
        </is>
      </c>
      <c r="C7" s="178" t="inlineStr">
        <is>
          <t>€</t>
        </is>
      </c>
      <c r="D7" s="176" t="n"/>
      <c r="E7" s="244">
        <f>3_CashFlow!E11</f>
        <v/>
      </c>
      <c r="F7" s="244">
        <f>3_CashFlow!F11</f>
        <v/>
      </c>
      <c r="G7" s="244">
        <f>3_CashFlow!G11</f>
        <v/>
      </c>
      <c r="H7" s="244">
        <f>3_CashFlow!H11</f>
        <v/>
      </c>
      <c r="I7" s="244">
        <f>3_CashFlow!I11</f>
        <v/>
      </c>
      <c r="J7" s="244">
        <f>3_CashFlow!J11</f>
        <v/>
      </c>
      <c r="K7" s="244">
        <f>3_CashFlow!K11</f>
        <v/>
      </c>
      <c r="L7" s="244">
        <f>3_CashFlow!L11</f>
        <v/>
      </c>
      <c r="M7" s="244">
        <f>3_CashFlow!M11</f>
        <v/>
      </c>
      <c r="N7" s="244">
        <f>3_CashFlow!N11</f>
        <v/>
      </c>
      <c r="O7" s="244">
        <f>3_CashFlow!O11</f>
        <v/>
      </c>
      <c r="P7" s="244">
        <f>3_CashFlow!P11</f>
        <v/>
      </c>
      <c r="Q7" s="244">
        <f>3_CashFlow!Q11</f>
        <v/>
      </c>
      <c r="R7" s="244">
        <f>3_CashFlow!R11</f>
        <v/>
      </c>
      <c r="S7" s="244">
        <f>3_CashFlow!S11</f>
        <v/>
      </c>
      <c r="T7" s="244">
        <f>3_CashFlow!T11</f>
        <v/>
      </c>
      <c r="U7" s="244">
        <f>3_CashFlow!U11</f>
        <v/>
      </c>
      <c r="V7" s="244">
        <f>3_CashFlow!V11</f>
        <v/>
      </c>
      <c r="W7" s="244">
        <f>3_CashFlow!W11</f>
        <v/>
      </c>
      <c r="X7" s="244">
        <f>3_CashFlow!X11</f>
        <v/>
      </c>
      <c r="Y7" s="244">
        <f>3_CashFlow!Y11</f>
        <v/>
      </c>
      <c r="Z7" s="244">
        <f>3_CashFlow!Z11</f>
        <v/>
      </c>
      <c r="AA7" s="244">
        <f>3_CashFlow!AA11</f>
        <v/>
      </c>
      <c r="AB7" s="244">
        <f>3_CashFlow!AB11</f>
        <v/>
      </c>
      <c r="AC7" s="244">
        <f>3_CashFlow!AC11</f>
        <v/>
      </c>
    </row>
    <row r="8" ht="15" customHeight="1" s="160">
      <c r="A8" s="181" t="n"/>
      <c r="B8" s="182" t="inlineStr">
        <is>
          <t>Total Current Assets</t>
        </is>
      </c>
      <c r="C8" s="183" t="inlineStr">
        <is>
          <t>€</t>
        </is>
      </c>
      <c r="D8" s="181" t="n"/>
      <c r="E8" s="242">
        <f>E6+E7</f>
        <v/>
      </c>
      <c r="F8" s="242">
        <f>F6+F7</f>
        <v/>
      </c>
      <c r="G8" s="242">
        <f>G6+G7</f>
        <v/>
      </c>
      <c r="H8" s="242">
        <f>H6+H7</f>
        <v/>
      </c>
      <c r="I8" s="242">
        <f>I6+I7</f>
        <v/>
      </c>
      <c r="J8" s="242">
        <f>J6+J7</f>
        <v/>
      </c>
      <c r="K8" s="242">
        <f>K6+K7</f>
        <v/>
      </c>
      <c r="L8" s="242">
        <f>L6+L7</f>
        <v/>
      </c>
      <c r="M8" s="242">
        <f>M6+M7</f>
        <v/>
      </c>
      <c r="N8" s="242">
        <f>N6+N7</f>
        <v/>
      </c>
      <c r="O8" s="242">
        <f>O6+O7</f>
        <v/>
      </c>
      <c r="P8" s="242">
        <f>P6+P7</f>
        <v/>
      </c>
      <c r="Q8" s="242">
        <f>Q6+Q7</f>
        <v/>
      </c>
      <c r="R8" s="242">
        <f>R6+R7</f>
        <v/>
      </c>
      <c r="S8" s="242">
        <f>S6+S7</f>
        <v/>
      </c>
      <c r="T8" s="242">
        <f>T6+T7</f>
        <v/>
      </c>
      <c r="U8" s="242">
        <f>U6+U7</f>
        <v/>
      </c>
      <c r="V8" s="242">
        <f>V6+V7</f>
        <v/>
      </c>
      <c r="W8" s="242">
        <f>W6+W7</f>
        <v/>
      </c>
      <c r="X8" s="242">
        <f>X6+X7</f>
        <v/>
      </c>
      <c r="Y8" s="242">
        <f>Y6+Y7</f>
        <v/>
      </c>
      <c r="Z8" s="242">
        <f>Z6+Z7</f>
        <v/>
      </c>
      <c r="AA8" s="242">
        <f>AA6+AA7</f>
        <v/>
      </c>
      <c r="AB8" s="242">
        <f>AB6+AB7</f>
        <v/>
      </c>
      <c r="AC8" s="242">
        <f>AC6+AC7</f>
        <v/>
      </c>
    </row>
    <row r="9" ht="15" customHeight="1" s="160">
      <c r="A9" s="176" t="n"/>
      <c r="B9" s="177" t="inlineStr">
        <is>
          <t>Cumulative CapEx (Gross Fixed Assets)</t>
        </is>
      </c>
      <c r="C9" s="178" t="inlineStr">
        <is>
          <t>€</t>
        </is>
      </c>
      <c r="D9" s="176" t="n"/>
      <c r="E9" s="244">
        <f>3_CashFlow!E18</f>
        <v/>
      </c>
      <c r="F9" s="244">
        <f>E9+3_CashFlow!F18</f>
        <v/>
      </c>
      <c r="G9" s="244">
        <f>F9+3_CashFlow!G18</f>
        <v/>
      </c>
      <c r="H9" s="244">
        <f>G9+3_CashFlow!H18</f>
        <v/>
      </c>
      <c r="I9" s="244">
        <f>H9+3_CashFlow!I18</f>
        <v/>
      </c>
      <c r="J9" s="244">
        <f>I9+3_CashFlow!J18</f>
        <v/>
      </c>
      <c r="K9" s="244">
        <f>J9+3_CashFlow!K18</f>
        <v/>
      </c>
      <c r="L9" s="244">
        <f>K9+3_CashFlow!L18</f>
        <v/>
      </c>
      <c r="M9" s="244">
        <f>L9+3_CashFlow!M18</f>
        <v/>
      </c>
      <c r="N9" s="244">
        <f>M9+3_CashFlow!N18</f>
        <v/>
      </c>
      <c r="O9" s="244">
        <f>N9+3_CashFlow!O18</f>
        <v/>
      </c>
      <c r="P9" s="244">
        <f>O9+3_CashFlow!P18</f>
        <v/>
      </c>
      <c r="Q9" s="244">
        <f>P9+3_CashFlow!Q18</f>
        <v/>
      </c>
      <c r="R9" s="244">
        <f>Q9+3_CashFlow!R18</f>
        <v/>
      </c>
      <c r="S9" s="244">
        <f>R9+3_CashFlow!S18</f>
        <v/>
      </c>
      <c r="T9" s="244">
        <f>S9+3_CashFlow!T18</f>
        <v/>
      </c>
      <c r="U9" s="244">
        <f>T9+3_CashFlow!U18</f>
        <v/>
      </c>
      <c r="V9" s="244">
        <f>U9+3_CashFlow!V18</f>
        <v/>
      </c>
      <c r="W9" s="244">
        <f>V9+3_CashFlow!W18</f>
        <v/>
      </c>
      <c r="X9" s="244">
        <f>W9+3_CashFlow!X18</f>
        <v/>
      </c>
      <c r="Y9" s="244">
        <f>X9+3_CashFlow!Y18</f>
        <v/>
      </c>
      <c r="Z9" s="244">
        <f>Y9+3_CashFlow!Z18</f>
        <v/>
      </c>
      <c r="AA9" s="244">
        <f>Z9+3_CashFlow!AA18</f>
        <v/>
      </c>
      <c r="AB9" s="244">
        <f>AA9+3_CashFlow!AB18</f>
        <v/>
      </c>
      <c r="AC9" s="244">
        <f>AB9+3_CashFlow!AC18</f>
        <v/>
      </c>
    </row>
    <row r="10" ht="15" customHeight="1" s="160">
      <c r="A10" s="181" t="n"/>
      <c r="B10" s="182" t="inlineStr">
        <is>
          <t>Cumulative Depreciation</t>
        </is>
      </c>
      <c r="C10" s="183" t="inlineStr">
        <is>
          <t>€</t>
        </is>
      </c>
      <c r="D10" s="181" t="n"/>
      <c r="E10" s="242">
        <f>3_CashFlow!E10</f>
        <v/>
      </c>
      <c r="F10" s="242">
        <f>E10+3_CashFlow!F10</f>
        <v/>
      </c>
      <c r="G10" s="242">
        <f>F10+3_CashFlow!G10</f>
        <v/>
      </c>
      <c r="H10" s="242">
        <f>G10+3_CashFlow!H10</f>
        <v/>
      </c>
      <c r="I10" s="242">
        <f>H10+3_CashFlow!I10</f>
        <v/>
      </c>
      <c r="J10" s="242">
        <f>I10+3_CashFlow!J10</f>
        <v/>
      </c>
      <c r="K10" s="242">
        <f>J10+3_CashFlow!K10</f>
        <v/>
      </c>
      <c r="L10" s="242">
        <f>K10+3_CashFlow!L10</f>
        <v/>
      </c>
      <c r="M10" s="242">
        <f>L10+3_CashFlow!M10</f>
        <v/>
      </c>
      <c r="N10" s="242">
        <f>M10+3_CashFlow!N10</f>
        <v/>
      </c>
      <c r="O10" s="242">
        <f>N10+3_CashFlow!O10</f>
        <v/>
      </c>
      <c r="P10" s="242">
        <f>O10+3_CashFlow!P10</f>
        <v/>
      </c>
      <c r="Q10" s="242">
        <f>P10+3_CashFlow!Q10</f>
        <v/>
      </c>
      <c r="R10" s="242">
        <f>Q10+3_CashFlow!R10</f>
        <v/>
      </c>
      <c r="S10" s="242">
        <f>R10+3_CashFlow!S10</f>
        <v/>
      </c>
      <c r="T10" s="242">
        <f>S10+3_CashFlow!T10</f>
        <v/>
      </c>
      <c r="U10" s="242">
        <f>T10+3_CashFlow!U10</f>
        <v/>
      </c>
      <c r="V10" s="242">
        <f>U10+3_CashFlow!V10</f>
        <v/>
      </c>
      <c r="W10" s="242">
        <f>V10+3_CashFlow!W10</f>
        <v/>
      </c>
      <c r="X10" s="242">
        <f>W10+3_CashFlow!X10</f>
        <v/>
      </c>
      <c r="Y10" s="242">
        <f>X10+3_CashFlow!Y10</f>
        <v/>
      </c>
      <c r="Z10" s="242">
        <f>Y10+3_CashFlow!Z10</f>
        <v/>
      </c>
      <c r="AA10" s="242">
        <f>Z10+3_CashFlow!AA10</f>
        <v/>
      </c>
      <c r="AB10" s="242">
        <f>AA10+3_CashFlow!AB10</f>
        <v/>
      </c>
      <c r="AC10" s="242">
        <f>AB10+3_CashFlow!AC10</f>
        <v/>
      </c>
    </row>
    <row r="11" ht="15" customHeight="1" s="160">
      <c r="A11" s="176" t="n"/>
      <c r="B11" s="177" t="inlineStr">
        <is>
          <t>Net Fixed Assets</t>
        </is>
      </c>
      <c r="C11" s="178" t="inlineStr">
        <is>
          <t>€</t>
        </is>
      </c>
      <c r="D11" s="176" t="n"/>
      <c r="E11" s="244">
        <f>MAX(0,E9-E10)</f>
        <v/>
      </c>
      <c r="F11" s="244">
        <f>MAX(0,F9-F10)</f>
        <v/>
      </c>
      <c r="G11" s="244">
        <f>MAX(0,G9-G10)</f>
        <v/>
      </c>
      <c r="H11" s="244">
        <f>MAX(0,H9-H10)</f>
        <v/>
      </c>
      <c r="I11" s="244">
        <f>MAX(0,I9-I10)</f>
        <v/>
      </c>
      <c r="J11" s="244">
        <f>MAX(0,J9-J10)</f>
        <v/>
      </c>
      <c r="K11" s="244">
        <f>MAX(0,K9-K10)</f>
        <v/>
      </c>
      <c r="L11" s="244">
        <f>MAX(0,L9-L10)</f>
        <v/>
      </c>
      <c r="M11" s="244">
        <f>MAX(0,M9-M10)</f>
        <v/>
      </c>
      <c r="N11" s="244">
        <f>MAX(0,N9-N10)</f>
        <v/>
      </c>
      <c r="O11" s="244">
        <f>MAX(0,O9-O10)</f>
        <v/>
      </c>
      <c r="P11" s="244">
        <f>MAX(0,P9-P10)</f>
        <v/>
      </c>
      <c r="Q11" s="244">
        <f>MAX(0,Q9-Q10)</f>
        <v/>
      </c>
      <c r="R11" s="244">
        <f>MAX(0,R9-R10)</f>
        <v/>
      </c>
      <c r="S11" s="244">
        <f>MAX(0,S9-S10)</f>
        <v/>
      </c>
      <c r="T11" s="244">
        <f>MAX(0,T9-T10)</f>
        <v/>
      </c>
      <c r="U11" s="244">
        <f>MAX(0,U9-U10)</f>
        <v/>
      </c>
      <c r="V11" s="244">
        <f>MAX(0,V9-V10)</f>
        <v/>
      </c>
      <c r="W11" s="244">
        <f>MAX(0,W9-W10)</f>
        <v/>
      </c>
      <c r="X11" s="244">
        <f>MAX(0,X9-X10)</f>
        <v/>
      </c>
      <c r="Y11" s="244">
        <f>MAX(0,Y9-Y10)</f>
        <v/>
      </c>
      <c r="Z11" s="244">
        <f>MAX(0,Z9-Z10)</f>
        <v/>
      </c>
      <c r="AA11" s="244">
        <f>MAX(0,AA9-AA10)</f>
        <v/>
      </c>
      <c r="AB11" s="244">
        <f>MAX(0,AB9-AB10)</f>
        <v/>
      </c>
      <c r="AC11" s="244">
        <f>MAX(0,AC9-AC10)</f>
        <v/>
      </c>
    </row>
    <row r="12" ht="15" customHeight="1" s="160">
      <c r="A12" s="246" t="n"/>
      <c r="B12" s="247" t="inlineStr">
        <is>
          <t>TOTAL ASSETS</t>
        </is>
      </c>
      <c r="C12" s="248" t="inlineStr">
        <is>
          <t>€</t>
        </is>
      </c>
      <c r="D12" s="249" t="n"/>
      <c r="E12" s="249">
        <f>E8+E11</f>
        <v/>
      </c>
      <c r="F12" s="249">
        <f>F8+F11</f>
        <v/>
      </c>
      <c r="G12" s="249">
        <f>G8+G11</f>
        <v/>
      </c>
      <c r="H12" s="249">
        <f>H8+H11</f>
        <v/>
      </c>
      <c r="I12" s="249">
        <f>I8+I11</f>
        <v/>
      </c>
      <c r="J12" s="249">
        <f>J8+J11</f>
        <v/>
      </c>
      <c r="K12" s="249">
        <f>K8+K11</f>
        <v/>
      </c>
      <c r="L12" s="249">
        <f>L8+L11</f>
        <v/>
      </c>
      <c r="M12" s="249">
        <f>M8+M11</f>
        <v/>
      </c>
      <c r="N12" s="249">
        <f>N8+N11</f>
        <v/>
      </c>
      <c r="O12" s="249">
        <f>O8+O11</f>
        <v/>
      </c>
      <c r="P12" s="249">
        <f>P8+P11</f>
        <v/>
      </c>
      <c r="Q12" s="249">
        <f>Q8+Q11</f>
        <v/>
      </c>
      <c r="R12" s="249">
        <f>R8+R11</f>
        <v/>
      </c>
      <c r="S12" s="249">
        <f>S8+S11</f>
        <v/>
      </c>
      <c r="T12" s="249">
        <f>T8+T11</f>
        <v/>
      </c>
      <c r="U12" s="249">
        <f>U8+U11</f>
        <v/>
      </c>
      <c r="V12" s="249">
        <f>V8+V11</f>
        <v/>
      </c>
      <c r="W12" s="249">
        <f>W8+W11</f>
        <v/>
      </c>
      <c r="X12" s="249">
        <f>X8+X11</f>
        <v/>
      </c>
      <c r="Y12" s="249">
        <f>Y8+Y11</f>
        <v/>
      </c>
      <c r="Z12" s="249">
        <f>Z8+Z11</f>
        <v/>
      </c>
      <c r="AA12" s="249">
        <f>AA8+AA11</f>
        <v/>
      </c>
      <c r="AB12" s="249">
        <f>AB8+AB11</f>
        <v/>
      </c>
      <c r="AC12" s="249">
        <f>AC8+AC11</f>
        <v/>
      </c>
    </row>
    <row r="14" ht="15" customHeight="1" s="160">
      <c r="A14" s="187" t="n"/>
      <c r="B14" s="188" t="inlineStr">
        <is>
          <t>LIABILITIES</t>
        </is>
      </c>
      <c r="C14" s="187" t="n"/>
      <c r="D14" s="187" t="n"/>
      <c r="E14" s="187" t="n"/>
      <c r="F14" s="187" t="n"/>
      <c r="G14" s="187" t="n"/>
      <c r="H14" s="187" t="n"/>
      <c r="I14" s="187" t="n"/>
      <c r="J14" s="187" t="n"/>
      <c r="K14" s="187" t="n"/>
      <c r="L14" s="187" t="n"/>
      <c r="M14" s="187" t="n"/>
      <c r="N14" s="187" t="n"/>
      <c r="O14" s="187" t="n"/>
      <c r="P14" s="187" t="n"/>
      <c r="Q14" s="187" t="n"/>
      <c r="R14" s="187" t="n"/>
      <c r="S14" s="187" t="n"/>
      <c r="T14" s="187" t="n"/>
      <c r="U14" s="187" t="n"/>
      <c r="V14" s="187" t="n"/>
      <c r="W14" s="187" t="n"/>
      <c r="X14" s="187" t="n"/>
      <c r="Y14" s="187" t="n"/>
      <c r="Z14" s="187" t="n"/>
      <c r="AA14" s="187" t="n"/>
      <c r="AB14" s="187" t="n"/>
      <c r="AC14" s="187" t="n"/>
    </row>
    <row r="15" ht="15" customHeight="1" s="160">
      <c r="A15" s="181" t="n"/>
      <c r="B15" s="182" t="inlineStr">
        <is>
          <t>Accounts Payable</t>
        </is>
      </c>
      <c r="C15" s="183" t="inlineStr">
        <is>
          <t>€</t>
        </is>
      </c>
      <c r="D15" s="181" t="n"/>
      <c r="E15" s="242">
        <f>3_CashFlow!E12</f>
        <v/>
      </c>
      <c r="F15" s="242">
        <f>3_CashFlow!F12</f>
        <v/>
      </c>
      <c r="G15" s="242">
        <f>3_CashFlow!G12</f>
        <v/>
      </c>
      <c r="H15" s="242">
        <f>3_CashFlow!H12</f>
        <v/>
      </c>
      <c r="I15" s="242">
        <f>3_CashFlow!I12</f>
        <v/>
      </c>
      <c r="J15" s="242">
        <f>3_CashFlow!J12</f>
        <v/>
      </c>
      <c r="K15" s="242">
        <f>3_CashFlow!K12</f>
        <v/>
      </c>
      <c r="L15" s="242">
        <f>3_CashFlow!L12</f>
        <v/>
      </c>
      <c r="M15" s="242">
        <f>3_CashFlow!M12</f>
        <v/>
      </c>
      <c r="N15" s="242">
        <f>3_CashFlow!N12</f>
        <v/>
      </c>
      <c r="O15" s="242">
        <f>3_CashFlow!O12</f>
        <v/>
      </c>
      <c r="P15" s="242">
        <f>3_CashFlow!P12</f>
        <v/>
      </c>
      <c r="Q15" s="242">
        <f>3_CashFlow!Q12</f>
        <v/>
      </c>
      <c r="R15" s="242">
        <f>3_CashFlow!R12</f>
        <v/>
      </c>
      <c r="S15" s="242">
        <f>3_CashFlow!S12</f>
        <v/>
      </c>
      <c r="T15" s="242">
        <f>3_CashFlow!T12</f>
        <v/>
      </c>
      <c r="U15" s="242">
        <f>3_CashFlow!U12</f>
        <v/>
      </c>
      <c r="V15" s="242">
        <f>3_CashFlow!V12</f>
        <v/>
      </c>
      <c r="W15" s="242">
        <f>3_CashFlow!W12</f>
        <v/>
      </c>
      <c r="X15" s="242">
        <f>3_CashFlow!X12</f>
        <v/>
      </c>
      <c r="Y15" s="242">
        <f>3_CashFlow!Y12</f>
        <v/>
      </c>
      <c r="Z15" s="242">
        <f>3_CashFlow!Z12</f>
        <v/>
      </c>
      <c r="AA15" s="242">
        <f>3_CashFlow!AA12</f>
        <v/>
      </c>
      <c r="AB15" s="242">
        <f>3_CashFlow!AB12</f>
        <v/>
      </c>
      <c r="AC15" s="242">
        <f>3_CashFlow!AC12</f>
        <v/>
      </c>
    </row>
    <row r="16" ht="15" customHeight="1" s="160">
      <c r="A16" s="176" t="n"/>
      <c r="B16" s="177" t="inlineStr">
        <is>
          <t>Deferred Revenue (not modeled separately)</t>
        </is>
      </c>
      <c r="C16" s="178" t="inlineStr">
        <is>
          <t>€</t>
        </is>
      </c>
      <c r="D16" s="176" t="n"/>
      <c r="E16" s="243" t="n">
        <v>0</v>
      </c>
      <c r="F16" s="243" t="n">
        <v>0</v>
      </c>
      <c r="G16" s="243" t="n">
        <v>0</v>
      </c>
      <c r="H16" s="243" t="n">
        <v>0</v>
      </c>
      <c r="I16" s="243" t="n">
        <v>0</v>
      </c>
      <c r="J16" s="243" t="n">
        <v>0</v>
      </c>
      <c r="K16" s="243" t="n">
        <v>0</v>
      </c>
      <c r="L16" s="243" t="n">
        <v>0</v>
      </c>
      <c r="M16" s="243" t="n">
        <v>0</v>
      </c>
      <c r="N16" s="243" t="n">
        <v>0</v>
      </c>
      <c r="O16" s="243" t="n">
        <v>0</v>
      </c>
      <c r="P16" s="243" t="n">
        <v>0</v>
      </c>
      <c r="Q16" s="243" t="n">
        <v>0</v>
      </c>
      <c r="R16" s="243" t="n">
        <v>0</v>
      </c>
      <c r="S16" s="243" t="n">
        <v>0</v>
      </c>
      <c r="T16" s="243" t="n">
        <v>0</v>
      </c>
      <c r="U16" s="243" t="n">
        <v>0</v>
      </c>
      <c r="V16" s="243" t="n">
        <v>0</v>
      </c>
      <c r="W16" s="243" t="n">
        <v>0</v>
      </c>
      <c r="X16" s="243" t="n">
        <v>0</v>
      </c>
      <c r="Y16" s="243" t="n">
        <v>0</v>
      </c>
      <c r="Z16" s="243" t="n">
        <v>0</v>
      </c>
      <c r="AA16" s="243" t="n">
        <v>0</v>
      </c>
      <c r="AB16" s="243" t="n">
        <v>0</v>
      </c>
      <c r="AC16" s="243" t="n">
        <v>0</v>
      </c>
    </row>
    <row r="17" ht="15" customHeight="1" s="160">
      <c r="A17" s="181" t="n"/>
      <c r="B17" s="182" t="inlineStr">
        <is>
          <t>TOTAL LIABILITIES</t>
        </is>
      </c>
      <c r="C17" s="183" t="inlineStr">
        <is>
          <t>€</t>
        </is>
      </c>
      <c r="D17" s="181" t="n"/>
      <c r="E17" s="242">
        <f>E15+E16</f>
        <v/>
      </c>
      <c r="F17" s="242">
        <f>F15+F16</f>
        <v/>
      </c>
      <c r="G17" s="242">
        <f>G15+G16</f>
        <v/>
      </c>
      <c r="H17" s="242">
        <f>H15+H16</f>
        <v/>
      </c>
      <c r="I17" s="242">
        <f>I15+I16</f>
        <v/>
      </c>
      <c r="J17" s="242">
        <f>J15+J16</f>
        <v/>
      </c>
      <c r="K17" s="242">
        <f>K15+K16</f>
        <v/>
      </c>
      <c r="L17" s="242">
        <f>L15+L16</f>
        <v/>
      </c>
      <c r="M17" s="242">
        <f>M15+M16</f>
        <v/>
      </c>
      <c r="N17" s="242">
        <f>N15+N16</f>
        <v/>
      </c>
      <c r="O17" s="242">
        <f>O15+O16</f>
        <v/>
      </c>
      <c r="P17" s="242">
        <f>P15+P16</f>
        <v/>
      </c>
      <c r="Q17" s="242">
        <f>Q15+Q16</f>
        <v/>
      </c>
      <c r="R17" s="242">
        <f>R15+R16</f>
        <v/>
      </c>
      <c r="S17" s="242">
        <f>S15+S16</f>
        <v/>
      </c>
      <c r="T17" s="242">
        <f>T15+T16</f>
        <v/>
      </c>
      <c r="U17" s="242">
        <f>U15+U16</f>
        <v/>
      </c>
      <c r="V17" s="242">
        <f>V15+V16</f>
        <v/>
      </c>
      <c r="W17" s="242">
        <f>W15+W16</f>
        <v/>
      </c>
      <c r="X17" s="242">
        <f>X15+X16</f>
        <v/>
      </c>
      <c r="Y17" s="242">
        <f>Y15+Y16</f>
        <v/>
      </c>
      <c r="Z17" s="242">
        <f>Z15+Z16</f>
        <v/>
      </c>
      <c r="AA17" s="242">
        <f>AA15+AA16</f>
        <v/>
      </c>
      <c r="AB17" s="242">
        <f>AB15+AB16</f>
        <v/>
      </c>
      <c r="AC17" s="242">
        <f>AC15+AC16</f>
        <v/>
      </c>
    </row>
    <row r="19" ht="15" customHeight="1" s="160">
      <c r="A19" s="187" t="n"/>
      <c r="B19" s="188" t="inlineStr">
        <is>
          <t>EQUITY</t>
        </is>
      </c>
      <c r="C19" s="187" t="n"/>
      <c r="D19" s="187" t="n"/>
      <c r="E19" s="187" t="n"/>
      <c r="F19" s="187" t="n"/>
      <c r="G19" s="187" t="n"/>
      <c r="H19" s="187" t="n"/>
      <c r="I19" s="187" t="n"/>
      <c r="J19" s="187" t="n"/>
      <c r="K19" s="187" t="n"/>
      <c r="L19" s="187" t="n"/>
      <c r="M19" s="187" t="n"/>
      <c r="N19" s="187" t="n"/>
      <c r="O19" s="187" t="n"/>
      <c r="P19" s="187" t="n"/>
      <c r="Q19" s="187" t="n"/>
      <c r="R19" s="187" t="n"/>
      <c r="S19" s="187" t="n"/>
      <c r="T19" s="187" t="n"/>
      <c r="U19" s="187" t="n"/>
      <c r="V19" s="187" t="n"/>
      <c r="W19" s="187" t="n"/>
      <c r="X19" s="187" t="n"/>
      <c r="Y19" s="187" t="n"/>
      <c r="Z19" s="187" t="n"/>
      <c r="AA19" s="187" t="n"/>
      <c r="AB19" s="187" t="n"/>
      <c r="AC19" s="187" t="n"/>
    </row>
    <row r="20" ht="15" customHeight="1" s="160">
      <c r="A20" s="181" t="n"/>
      <c r="B20" s="182" t="inlineStr">
        <is>
          <t>Share Capital (Seed + Historical)</t>
        </is>
      </c>
      <c r="C20" s="183" t="inlineStr">
        <is>
          <t>€</t>
        </is>
      </c>
      <c r="D20" s="181" t="n"/>
      <c r="E20" s="242">
        <f>3_CashFlow!E22</f>
        <v/>
      </c>
      <c r="F20" s="242">
        <f>E20+3_CashFlow!F22</f>
        <v/>
      </c>
      <c r="G20" s="242">
        <f>F20+3_CashFlow!G22</f>
        <v/>
      </c>
      <c r="H20" s="242">
        <f>G20+3_CashFlow!H22</f>
        <v/>
      </c>
      <c r="I20" s="242">
        <f>H20+3_CashFlow!I22</f>
        <v/>
      </c>
      <c r="J20" s="242">
        <f>I20+3_CashFlow!J22</f>
        <v/>
      </c>
      <c r="K20" s="242">
        <f>J20+3_CashFlow!K22</f>
        <v/>
      </c>
      <c r="L20" s="242">
        <f>K20+3_CashFlow!L22</f>
        <v/>
      </c>
      <c r="M20" s="242">
        <f>L20+3_CashFlow!M22</f>
        <v/>
      </c>
      <c r="N20" s="242">
        <f>M20+3_CashFlow!N22</f>
        <v/>
      </c>
      <c r="O20" s="242">
        <f>N20+3_CashFlow!O22</f>
        <v/>
      </c>
      <c r="P20" s="242">
        <f>O20+3_CashFlow!P22</f>
        <v/>
      </c>
      <c r="Q20" s="242">
        <f>P20+3_CashFlow!Q22</f>
        <v/>
      </c>
      <c r="R20" s="242">
        <f>Q20+3_CashFlow!R22</f>
        <v/>
      </c>
      <c r="S20" s="242">
        <f>R20+3_CashFlow!S22</f>
        <v/>
      </c>
      <c r="T20" s="242">
        <f>S20+3_CashFlow!T22</f>
        <v/>
      </c>
      <c r="U20" s="242">
        <f>T20+3_CashFlow!U22</f>
        <v/>
      </c>
      <c r="V20" s="242">
        <f>U20+3_CashFlow!V22</f>
        <v/>
      </c>
      <c r="W20" s="242">
        <f>V20+3_CashFlow!W22</f>
        <v/>
      </c>
      <c r="X20" s="242">
        <f>W20+3_CashFlow!X22</f>
        <v/>
      </c>
      <c r="Y20" s="242">
        <f>X20+3_CashFlow!Y22</f>
        <v/>
      </c>
      <c r="Z20" s="242">
        <f>Y20+3_CashFlow!Z22</f>
        <v/>
      </c>
      <c r="AA20" s="242">
        <f>Z20+3_CashFlow!AA22</f>
        <v/>
      </c>
      <c r="AB20" s="242">
        <f>AA20+3_CashFlow!AB22</f>
        <v/>
      </c>
      <c r="AC20" s="242">
        <f>AB20+3_CashFlow!AC22</f>
        <v/>
      </c>
    </row>
    <row r="21" ht="15" customHeight="1" s="160">
      <c r="A21" s="176" t="n"/>
      <c r="B21" s="177" t="inlineStr">
        <is>
          <t>Retained Earnings (cumulative net income)</t>
        </is>
      </c>
      <c r="C21" s="178" t="inlineStr">
        <is>
          <t>€</t>
        </is>
      </c>
      <c r="D21" s="176" t="n"/>
      <c r="E21" s="244">
        <f>2_Projections!E90</f>
        <v/>
      </c>
      <c r="F21" s="244">
        <f>E21+2_Projections!F90</f>
        <v/>
      </c>
      <c r="G21" s="251">
        <f>F21+2_Projections!G90</f>
        <v/>
      </c>
      <c r="H21" s="244">
        <f>G21+2_Projections!H90</f>
        <v/>
      </c>
      <c r="I21" s="244">
        <f>H21+2_Projections!I90</f>
        <v/>
      </c>
      <c r="J21" s="244">
        <f>I21+2_Projections!J90</f>
        <v/>
      </c>
      <c r="K21" s="244">
        <f>J21+2_Projections!K90</f>
        <v/>
      </c>
      <c r="L21" s="244">
        <f>K21+2_Projections!L90</f>
        <v/>
      </c>
      <c r="M21" s="244">
        <f>L21+2_Projections!M90</f>
        <v/>
      </c>
      <c r="N21" s="244">
        <f>M21+2_Projections!N90</f>
        <v/>
      </c>
      <c r="O21" s="244">
        <f>N21+2_Projections!O90</f>
        <v/>
      </c>
      <c r="P21" s="244">
        <f>O21+2_Projections!P90</f>
        <v/>
      </c>
      <c r="Q21" s="244">
        <f>P21+2_Projections!Q90</f>
        <v/>
      </c>
      <c r="R21" s="244">
        <f>Q21+2_Projections!R90</f>
        <v/>
      </c>
      <c r="S21" s="244">
        <f>R21+2_Projections!S90</f>
        <v/>
      </c>
      <c r="T21" s="244">
        <f>S21+2_Projections!T90</f>
        <v/>
      </c>
      <c r="U21" s="244">
        <f>T21+2_Projections!U90</f>
        <v/>
      </c>
      <c r="V21" s="244">
        <f>U21+2_Projections!V90</f>
        <v/>
      </c>
      <c r="W21" s="244">
        <f>V21+2_Projections!W90</f>
        <v/>
      </c>
      <c r="X21" s="244">
        <f>W21+2_Projections!X90</f>
        <v/>
      </c>
      <c r="Y21" s="244">
        <f>X21+2_Projections!Y90</f>
        <v/>
      </c>
      <c r="Z21" s="244">
        <f>Y21+2_Projections!Z90</f>
        <v/>
      </c>
      <c r="AA21" s="244">
        <f>Z21+2_Projections!AA90</f>
        <v/>
      </c>
      <c r="AB21" s="244">
        <f>AA21+2_Projections!AB90</f>
        <v/>
      </c>
      <c r="AC21" s="244">
        <f>AB21+2_Projections!AC90</f>
        <v/>
      </c>
    </row>
    <row r="22" ht="15" customHeight="1" s="160">
      <c r="A22" s="246" t="n"/>
      <c r="B22" s="247" t="inlineStr">
        <is>
          <t>TOTAL EQUITY</t>
        </is>
      </c>
      <c r="C22" s="248" t="inlineStr">
        <is>
          <t>€</t>
        </is>
      </c>
      <c r="D22" s="249" t="n"/>
      <c r="E22" s="249">
        <f>E20+E21</f>
        <v/>
      </c>
      <c r="F22" s="249">
        <f>F20+F21</f>
        <v/>
      </c>
      <c r="G22" s="249">
        <f>G20+G21</f>
        <v/>
      </c>
      <c r="H22" s="249">
        <f>H20+H21</f>
        <v/>
      </c>
      <c r="I22" s="249">
        <f>I20+I21</f>
        <v/>
      </c>
      <c r="J22" s="249">
        <f>J20+J21</f>
        <v/>
      </c>
      <c r="K22" s="249">
        <f>K20+K21</f>
        <v/>
      </c>
      <c r="L22" s="249">
        <f>L20+L21</f>
        <v/>
      </c>
      <c r="M22" s="249">
        <f>M20+M21</f>
        <v/>
      </c>
      <c r="N22" s="249">
        <f>N20+N21</f>
        <v/>
      </c>
      <c r="O22" s="249">
        <f>O20+O21</f>
        <v/>
      </c>
      <c r="P22" s="249">
        <f>P20+P21</f>
        <v/>
      </c>
      <c r="Q22" s="249">
        <f>Q20+Q21</f>
        <v/>
      </c>
      <c r="R22" s="249">
        <f>R20+R21</f>
        <v/>
      </c>
      <c r="S22" s="249">
        <f>S20+S21</f>
        <v/>
      </c>
      <c r="T22" s="249">
        <f>T20+T21</f>
        <v/>
      </c>
      <c r="U22" s="249">
        <f>U20+U21</f>
        <v/>
      </c>
      <c r="V22" s="249">
        <f>V20+V21</f>
        <v/>
      </c>
      <c r="W22" s="249">
        <f>W20+W21</f>
        <v/>
      </c>
      <c r="X22" s="249">
        <f>X20+X21</f>
        <v/>
      </c>
      <c r="Y22" s="249">
        <f>Y20+Y21</f>
        <v/>
      </c>
      <c r="Z22" s="249">
        <f>Z20+Z21</f>
        <v/>
      </c>
      <c r="AA22" s="249">
        <f>AA20+AA21</f>
        <v/>
      </c>
      <c r="AB22" s="249">
        <f>AB20+AB21</f>
        <v/>
      </c>
      <c r="AC22" s="249">
        <f>AC20+AC21</f>
        <v/>
      </c>
    </row>
    <row r="24" ht="15" customHeight="1" s="160">
      <c r="A24" s="246" t="n"/>
      <c r="B24" s="247" t="inlineStr">
        <is>
          <t>TOTAL LIABILITIES + EQUITY</t>
        </is>
      </c>
      <c r="C24" s="248" t="inlineStr">
        <is>
          <t>€</t>
        </is>
      </c>
      <c r="D24" s="249" t="n"/>
      <c r="E24" s="249">
        <f>E17+E22</f>
        <v/>
      </c>
      <c r="F24" s="249">
        <f>F17+F22</f>
        <v/>
      </c>
      <c r="G24" s="249">
        <f>G17+G22</f>
        <v/>
      </c>
      <c r="H24" s="249">
        <f>H17+H22</f>
        <v/>
      </c>
      <c r="I24" s="249">
        <f>I17+I22</f>
        <v/>
      </c>
      <c r="J24" s="249">
        <f>J17+J22</f>
        <v/>
      </c>
      <c r="K24" s="249">
        <f>K17+K22</f>
        <v/>
      </c>
      <c r="L24" s="249">
        <f>L17+L22</f>
        <v/>
      </c>
      <c r="M24" s="249">
        <f>M17+M22</f>
        <v/>
      </c>
      <c r="N24" s="249">
        <f>N17+N22</f>
        <v/>
      </c>
      <c r="O24" s="249">
        <f>O17+O22</f>
        <v/>
      </c>
      <c r="P24" s="249">
        <f>P17+P22</f>
        <v/>
      </c>
      <c r="Q24" s="249">
        <f>Q17+Q22</f>
        <v/>
      </c>
      <c r="R24" s="249">
        <f>R17+R22</f>
        <v/>
      </c>
      <c r="S24" s="249">
        <f>S17+S22</f>
        <v/>
      </c>
      <c r="T24" s="249">
        <f>T17+T22</f>
        <v/>
      </c>
      <c r="U24" s="249">
        <f>U17+U22</f>
        <v/>
      </c>
      <c r="V24" s="249">
        <f>V17+V22</f>
        <v/>
      </c>
      <c r="W24" s="249">
        <f>W17+W22</f>
        <v/>
      </c>
      <c r="X24" s="249">
        <f>X17+X22</f>
        <v/>
      </c>
      <c r="Y24" s="249">
        <f>Y17+Y22</f>
        <v/>
      </c>
      <c r="Z24" s="249">
        <f>Z17+Z22</f>
        <v/>
      </c>
      <c r="AA24" s="249">
        <f>AA17+AA22</f>
        <v/>
      </c>
      <c r="AB24" s="249">
        <f>AB17+AB22</f>
        <v/>
      </c>
      <c r="AC24" s="249">
        <f>AC17+AC22</f>
        <v/>
      </c>
    </row>
    <row r="25" ht="15" customHeight="1" s="160">
      <c r="A25" s="261" t="n"/>
      <c r="B25" s="261" t="inlineStr">
        <is>
          <t>✓ BS Check: Assets − (L+E) = 0</t>
        </is>
      </c>
      <c r="C25" s="261" t="inlineStr">
        <is>
          <t>€</t>
        </is>
      </c>
      <c r="D25" s="261" t="n"/>
      <c r="E25" s="261">
        <f>E12-E24</f>
        <v/>
      </c>
      <c r="F25" s="261">
        <f>F12-F24</f>
        <v/>
      </c>
      <c r="G25" s="261">
        <f>G12-G24</f>
        <v/>
      </c>
      <c r="H25" s="261">
        <f>H12-H24</f>
        <v/>
      </c>
      <c r="I25" s="261">
        <f>I12-I24</f>
        <v/>
      </c>
      <c r="J25" s="261">
        <f>J12-J24</f>
        <v/>
      </c>
      <c r="K25" s="261">
        <f>K12-K24</f>
        <v/>
      </c>
      <c r="L25" s="261">
        <f>L12-L24</f>
        <v/>
      </c>
      <c r="M25" s="261">
        <f>M12-M24</f>
        <v/>
      </c>
      <c r="N25" s="261">
        <f>N12-N24</f>
        <v/>
      </c>
      <c r="O25" s="261">
        <f>O12-O24</f>
        <v/>
      </c>
      <c r="P25" s="261">
        <f>P12-P24</f>
        <v/>
      </c>
      <c r="Q25" s="261">
        <f>Q12-Q24</f>
        <v/>
      </c>
      <c r="R25" s="261">
        <f>R12-R24</f>
        <v/>
      </c>
      <c r="S25" s="261">
        <f>S12-S24</f>
        <v/>
      </c>
      <c r="T25" s="261">
        <f>T12-T24</f>
        <v/>
      </c>
      <c r="U25" s="261">
        <f>U12-U24</f>
        <v/>
      </c>
      <c r="V25" s="261">
        <f>V12-V24</f>
        <v/>
      </c>
      <c r="W25" s="261">
        <f>W12-W24</f>
        <v/>
      </c>
      <c r="X25" s="261">
        <f>X12-X24</f>
        <v/>
      </c>
      <c r="Y25" s="261">
        <f>Y12-Y24</f>
        <v/>
      </c>
      <c r="Z25" s="261">
        <f>Z12-Z24</f>
        <v/>
      </c>
      <c r="AA25" s="261">
        <f>AA12-AA24</f>
        <v/>
      </c>
      <c r="AB25" s="261">
        <f>AB12-AB24</f>
        <v/>
      </c>
      <c r="AC25" s="261">
        <f>AC12-AC24</f>
        <v/>
      </c>
    </row>
  </sheetData>
  <mergeCells count="6">
    <mergeCell ref="E2:M2"/>
    <mergeCell ref="A1:AC1"/>
    <mergeCell ref="V2:Y2"/>
    <mergeCell ref="Z2:AC2"/>
    <mergeCell ref="N2:Q2"/>
    <mergeCell ref="R2:U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6" topLeftCell="W60" activePane="bottomRight" state="frozen"/>
      <selection pane="topLeft" activeCell="A1" activeCellId="0" sqref="A1"/>
      <selection pane="topRight" activeCell="W1" activeCellId="0" sqref="W1"/>
      <selection pane="bottomLeft" activeCell="A60" activeCellId="0" sqref="A60"/>
      <selection pane="bottomRight" activeCell="AF55" activeCellId="0" sqref="AF55"/>
    </sheetView>
  </sheetViews>
  <sheetFormatPr baseColWidth="8" defaultColWidth="8.5703125" defaultRowHeight="14.25" customHeight="0" zeroHeight="0" outlineLevelRow="0"/>
  <cols>
    <col width="32" customWidth="1" style="159" min="1" max="1"/>
    <col width="30" customWidth="1" style="159" min="2" max="2"/>
    <col width="14" customWidth="1" style="159" min="3" max="4"/>
    <col width="11" customWidth="1" style="159" min="5" max="29"/>
  </cols>
  <sheetData>
    <row r="1" ht="15" customHeight="1" s="160">
      <c r="A1" s="166" t="inlineStr">
        <is>
          <t xml:space="preserve">  5_Headcount  |  Personnel Plan &amp; Cost  |  Monthly Year 1, Quarterly Years 2-5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167" t="n"/>
      <c r="T1" s="167" t="n"/>
      <c r="U1" s="167" t="n"/>
      <c r="V1" s="167" t="n"/>
      <c r="W1" s="167" t="n"/>
      <c r="X1" s="167" t="n"/>
      <c r="Y1" s="167" t="n"/>
      <c r="Z1" s="167" t="n"/>
      <c r="AA1" s="167" t="n"/>
      <c r="AB1" s="167" t="n"/>
      <c r="AC1" s="167" t="n"/>
    </row>
    <row r="2" ht="15" customHeight="1" s="160">
      <c r="A2" s="257" t="inlineStr">
        <is>
          <t>Salary Growth Rate</t>
        </is>
      </c>
      <c r="B2" s="262">
        <f>1_Assumptions!$F$146</f>
        <v/>
      </c>
      <c r="C2" s="257" t="inlineStr">
        <is>
          <t>← From 1_Assumptions</t>
        </is>
      </c>
    </row>
    <row r="3" ht="15" customHeight="1" s="160">
      <c r="A3" s="230" t="inlineStr">
        <is>
          <t>Employer Cost Multiplier</t>
        </is>
      </c>
      <c r="B3" s="170" t="n">
        <v>1.3</v>
      </c>
      <c r="C3" s="229" t="inlineStr">
        <is>
          <t>Gross × 1.30 (social contributions)</t>
        </is>
      </c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  <c r="AA3" s="169" t="n"/>
      <c r="AB3" s="169" t="n"/>
      <c r="AC3" s="169" t="n"/>
    </row>
    <row r="5" ht="15" customHeight="1" s="160">
      <c r="A5" s="173" t="inlineStr">
        <is>
          <t>A. HEADCOUNT PLAN — TRUE = Active</t>
        </is>
      </c>
    </row>
    <row r="6" ht="15" customHeight="1" s="160">
      <c r="A6" s="263" t="inlineStr">
        <is>
          <t>Department</t>
        </is>
      </c>
      <c r="B6" s="182" t="inlineStr">
        <is>
          <t>Role</t>
        </is>
      </c>
      <c r="C6" s="183" t="inlineStr">
        <is>
          <t>Gross Annual (€)</t>
        </is>
      </c>
      <c r="D6" s="263" t="inlineStr">
        <is>
          <t>Employer Cost (€)</t>
        </is>
      </c>
      <c r="E6" s="264" t="inlineStr">
        <is>
          <t>Apr</t>
        </is>
      </c>
      <c r="F6" s="264" t="inlineStr">
        <is>
          <t>May</t>
        </is>
      </c>
      <c r="G6" s="264" t="inlineStr">
        <is>
          <t>Jun</t>
        </is>
      </c>
      <c r="H6" s="264" t="inlineStr">
        <is>
          <t>Jul</t>
        </is>
      </c>
      <c r="I6" s="264" t="inlineStr">
        <is>
          <t>Aug</t>
        </is>
      </c>
      <c r="J6" s="264" t="inlineStr">
        <is>
          <t>Sep</t>
        </is>
      </c>
      <c r="K6" s="264" t="inlineStr">
        <is>
          <t>Oct</t>
        </is>
      </c>
      <c r="L6" s="264" t="inlineStr">
        <is>
          <t>Nov</t>
        </is>
      </c>
      <c r="M6" s="264" t="inlineStr">
        <is>
          <t>Dec</t>
        </is>
      </c>
      <c r="N6" s="264" t="inlineStr">
        <is>
          <t>Q1</t>
        </is>
      </c>
      <c r="O6" s="264" t="inlineStr">
        <is>
          <t>Q2</t>
        </is>
      </c>
      <c r="P6" s="264" t="inlineStr">
        <is>
          <t>Q3</t>
        </is>
      </c>
      <c r="Q6" s="264" t="inlineStr">
        <is>
          <t>Q4</t>
        </is>
      </c>
      <c r="R6" s="264" t="inlineStr">
        <is>
          <t>Q1</t>
        </is>
      </c>
      <c r="S6" s="264" t="inlineStr">
        <is>
          <t>Q2</t>
        </is>
      </c>
      <c r="T6" s="264" t="inlineStr">
        <is>
          <t>Q3</t>
        </is>
      </c>
      <c r="U6" s="264" t="inlineStr">
        <is>
          <t>Q4</t>
        </is>
      </c>
      <c r="V6" s="264" t="inlineStr">
        <is>
          <t>Q1</t>
        </is>
      </c>
      <c r="W6" s="264" t="inlineStr">
        <is>
          <t>Q2</t>
        </is>
      </c>
      <c r="X6" s="264" t="inlineStr">
        <is>
          <t>Q3</t>
        </is>
      </c>
      <c r="Y6" s="264" t="inlineStr">
        <is>
          <t>Q4</t>
        </is>
      </c>
      <c r="Z6" s="264" t="inlineStr">
        <is>
          <t>Q1</t>
        </is>
      </c>
      <c r="AA6" s="264" t="inlineStr">
        <is>
          <t>Q2</t>
        </is>
      </c>
      <c r="AB6" s="264" t="inlineStr">
        <is>
          <t>Q3</t>
        </is>
      </c>
      <c r="AC6" s="264" t="inlineStr">
        <is>
          <t>Q4</t>
        </is>
      </c>
    </row>
    <row r="7" ht="15" customHeight="1" s="160">
      <c r="A7" s="176" t="inlineStr">
        <is>
          <t>G&amp;A</t>
        </is>
      </c>
      <c r="B7" s="177" t="inlineStr">
        <is>
          <t>Founder - CPO</t>
        </is>
      </c>
      <c r="C7" s="178" t="n">
        <v>70000</v>
      </c>
      <c r="D7" s="177">
        <f>C7*$B$3</f>
        <v/>
      </c>
      <c r="E7" s="177">
        <f>TRUE()</f>
        <v/>
      </c>
      <c r="F7" s="177">
        <f>TRUE()</f>
        <v/>
      </c>
      <c r="G7" s="177">
        <f>TRUE()</f>
        <v/>
      </c>
      <c r="H7" s="177">
        <f>TRUE()</f>
        <v/>
      </c>
      <c r="I7" s="177">
        <f>TRUE()</f>
        <v/>
      </c>
      <c r="J7" s="177">
        <f>TRUE()</f>
        <v/>
      </c>
      <c r="K7" s="177">
        <f>TRUE()</f>
        <v/>
      </c>
      <c r="L7" s="177">
        <f>TRUE()</f>
        <v/>
      </c>
      <c r="M7" s="177">
        <f>TRUE()</f>
        <v/>
      </c>
      <c r="N7" s="177">
        <f>TRUE()</f>
        <v/>
      </c>
      <c r="O7" s="177">
        <f>TRUE()</f>
        <v/>
      </c>
      <c r="P7" s="177">
        <f>TRUE()</f>
        <v/>
      </c>
      <c r="Q7" s="177">
        <f>TRUE()</f>
        <v/>
      </c>
      <c r="R7" s="177">
        <f>TRUE()</f>
        <v/>
      </c>
      <c r="S7" s="177">
        <f>TRUE()</f>
        <v/>
      </c>
      <c r="T7" s="177">
        <f>TRUE()</f>
        <v/>
      </c>
      <c r="U7" s="177">
        <f>TRUE()</f>
        <v/>
      </c>
      <c r="V7" s="177">
        <f>TRUE()</f>
        <v/>
      </c>
      <c r="W7" s="177">
        <f>TRUE()</f>
        <v/>
      </c>
      <c r="X7" s="177">
        <f>TRUE()</f>
        <v/>
      </c>
      <c r="Y7" s="177">
        <f>TRUE()</f>
        <v/>
      </c>
      <c r="Z7" s="177">
        <f>TRUE()</f>
        <v/>
      </c>
      <c r="AA7" s="177">
        <f>TRUE()</f>
        <v/>
      </c>
      <c r="AB7" s="177">
        <f>TRUE()</f>
        <v/>
      </c>
      <c r="AC7" s="177">
        <f>TRUE()</f>
        <v/>
      </c>
    </row>
    <row r="8" ht="15" customHeight="1" s="160">
      <c r="A8" s="181" t="inlineStr">
        <is>
          <t>G&amp;A</t>
        </is>
      </c>
      <c r="B8" s="182" t="inlineStr">
        <is>
          <t>Founder - CEO</t>
        </is>
      </c>
      <c r="C8" s="183" t="n">
        <v>70000</v>
      </c>
      <c r="D8" s="182">
        <f>C8*$B$3</f>
        <v/>
      </c>
      <c r="E8" s="182">
        <f>TRUE()</f>
        <v/>
      </c>
      <c r="F8" s="182">
        <f>TRUE()</f>
        <v/>
      </c>
      <c r="G8" s="182">
        <f>TRUE()</f>
        <v/>
      </c>
      <c r="H8" s="182">
        <f>TRUE()</f>
        <v/>
      </c>
      <c r="I8" s="182">
        <f>TRUE()</f>
        <v/>
      </c>
      <c r="J8" s="182">
        <f>TRUE()</f>
        <v/>
      </c>
      <c r="K8" s="182">
        <f>TRUE()</f>
        <v/>
      </c>
      <c r="L8" s="182">
        <f>TRUE()</f>
        <v/>
      </c>
      <c r="M8" s="182">
        <f>TRUE()</f>
        <v/>
      </c>
      <c r="N8" s="182">
        <f>TRUE()</f>
        <v/>
      </c>
      <c r="O8" s="182">
        <f>TRUE()</f>
        <v/>
      </c>
      <c r="P8" s="182">
        <f>TRUE()</f>
        <v/>
      </c>
      <c r="Q8" s="182">
        <f>TRUE()</f>
        <v/>
      </c>
      <c r="R8" s="182">
        <f>TRUE()</f>
        <v/>
      </c>
      <c r="S8" s="182">
        <f>TRUE()</f>
        <v/>
      </c>
      <c r="T8" s="182">
        <f>TRUE()</f>
        <v/>
      </c>
      <c r="U8" s="182">
        <f>TRUE()</f>
        <v/>
      </c>
      <c r="V8" s="182">
        <f>TRUE()</f>
        <v/>
      </c>
      <c r="W8" s="182">
        <f>TRUE()</f>
        <v/>
      </c>
      <c r="X8" s="182">
        <f>TRUE()</f>
        <v/>
      </c>
      <c r="Y8" s="182">
        <f>TRUE()</f>
        <v/>
      </c>
      <c r="Z8" s="182">
        <f>TRUE()</f>
        <v/>
      </c>
      <c r="AA8" s="182">
        <f>TRUE()</f>
        <v/>
      </c>
      <c r="AB8" s="182">
        <f>TRUE()</f>
        <v/>
      </c>
      <c r="AC8" s="182">
        <f>TRUE()</f>
        <v/>
      </c>
    </row>
    <row r="9" ht="15" customHeight="1" s="160">
      <c r="A9" s="176" t="inlineStr">
        <is>
          <t>G&amp;A</t>
        </is>
      </c>
      <c r="B9" s="177" t="inlineStr">
        <is>
          <t>Founder - CTO</t>
        </is>
      </c>
      <c r="C9" s="178" t="n">
        <v>70000</v>
      </c>
      <c r="D9" s="177">
        <f>C9*$B$3</f>
        <v/>
      </c>
      <c r="E9" s="177">
        <f>TRUE()</f>
        <v/>
      </c>
      <c r="F9" s="177">
        <f>TRUE()</f>
        <v/>
      </c>
      <c r="G9" s="177">
        <f>TRUE()</f>
        <v/>
      </c>
      <c r="H9" s="177">
        <f>TRUE()</f>
        <v/>
      </c>
      <c r="I9" s="177">
        <f>TRUE()</f>
        <v/>
      </c>
      <c r="J9" s="177">
        <f>TRUE()</f>
        <v/>
      </c>
      <c r="K9" s="177">
        <f>TRUE()</f>
        <v/>
      </c>
      <c r="L9" s="177">
        <f>TRUE()</f>
        <v/>
      </c>
      <c r="M9" s="177">
        <f>TRUE()</f>
        <v/>
      </c>
      <c r="N9" s="177">
        <f>TRUE()</f>
        <v/>
      </c>
      <c r="O9" s="177">
        <f>TRUE()</f>
        <v/>
      </c>
      <c r="P9" s="177">
        <f>TRUE()</f>
        <v/>
      </c>
      <c r="Q9" s="177">
        <f>TRUE()</f>
        <v/>
      </c>
      <c r="R9" s="177">
        <f>TRUE()</f>
        <v/>
      </c>
      <c r="S9" s="177">
        <f>TRUE()</f>
        <v/>
      </c>
      <c r="T9" s="177">
        <f>TRUE()</f>
        <v/>
      </c>
      <c r="U9" s="177">
        <f>TRUE()</f>
        <v/>
      </c>
      <c r="V9" s="177">
        <f>TRUE()</f>
        <v/>
      </c>
      <c r="W9" s="177">
        <f>TRUE()</f>
        <v/>
      </c>
      <c r="X9" s="177">
        <f>TRUE()</f>
        <v/>
      </c>
      <c r="Y9" s="177">
        <f>TRUE()</f>
        <v/>
      </c>
      <c r="Z9" s="177">
        <f>TRUE()</f>
        <v/>
      </c>
      <c r="AA9" s="177">
        <f>TRUE()</f>
        <v/>
      </c>
      <c r="AB9" s="177">
        <f>TRUE()</f>
        <v/>
      </c>
      <c r="AC9" s="177">
        <f>TRUE()</f>
        <v/>
      </c>
    </row>
    <row r="10" ht="15" customHeight="1" s="160">
      <c r="A10" s="181" t="inlineStr">
        <is>
          <t>P&amp;E</t>
        </is>
      </c>
      <c r="B10" s="182" t="inlineStr">
        <is>
          <t>Full Stack Engineer</t>
        </is>
      </c>
      <c r="C10" s="183" t="n">
        <v>80000</v>
      </c>
      <c r="D10" s="182">
        <f>C10*$B$3</f>
        <v/>
      </c>
      <c r="E10" s="182">
        <f>TRUE()</f>
        <v/>
      </c>
      <c r="F10" s="182">
        <f>TRUE()</f>
        <v/>
      </c>
      <c r="G10" s="182">
        <f>TRUE()</f>
        <v/>
      </c>
      <c r="H10" s="182">
        <f>TRUE()</f>
        <v/>
      </c>
      <c r="I10" s="182">
        <f>TRUE()</f>
        <v/>
      </c>
      <c r="J10" s="182">
        <f>TRUE()</f>
        <v/>
      </c>
      <c r="K10" s="182">
        <f>TRUE()</f>
        <v/>
      </c>
      <c r="L10" s="182">
        <f>TRUE()</f>
        <v/>
      </c>
      <c r="M10" s="182">
        <f>TRUE()</f>
        <v/>
      </c>
      <c r="N10" s="182">
        <f>TRUE()</f>
        <v/>
      </c>
      <c r="O10" s="182">
        <f>TRUE()</f>
        <v/>
      </c>
      <c r="P10" s="182">
        <f>TRUE()</f>
        <v/>
      </c>
      <c r="Q10" s="182">
        <f>TRUE()</f>
        <v/>
      </c>
      <c r="R10" s="182">
        <f>TRUE()</f>
        <v/>
      </c>
      <c r="S10" s="182">
        <f>TRUE()</f>
        <v/>
      </c>
      <c r="T10" s="182">
        <f>TRUE()</f>
        <v/>
      </c>
      <c r="U10" s="182">
        <f>TRUE()</f>
        <v/>
      </c>
      <c r="V10" s="182">
        <f>TRUE()</f>
        <v/>
      </c>
      <c r="W10" s="182">
        <f>TRUE()</f>
        <v/>
      </c>
      <c r="X10" s="182">
        <f>TRUE()</f>
        <v/>
      </c>
      <c r="Y10" s="182">
        <f>TRUE()</f>
        <v/>
      </c>
      <c r="Z10" s="182">
        <f>TRUE()</f>
        <v/>
      </c>
      <c r="AA10" s="182">
        <f>TRUE()</f>
        <v/>
      </c>
      <c r="AB10" s="182">
        <f>TRUE()</f>
        <v/>
      </c>
      <c r="AC10" s="182">
        <f>TRUE()</f>
        <v/>
      </c>
    </row>
    <row r="11" ht="15" customHeight="1" s="160">
      <c r="A11" s="176" t="inlineStr">
        <is>
          <t>P&amp;E</t>
        </is>
      </c>
      <c r="B11" s="177" t="inlineStr">
        <is>
          <t>Full Stack Engineer</t>
        </is>
      </c>
      <c r="C11" s="178" t="n">
        <v>70000</v>
      </c>
      <c r="D11" s="177">
        <f>C11*$B$3</f>
        <v/>
      </c>
      <c r="E11" s="177">
        <f>FALSE()</f>
        <v/>
      </c>
      <c r="F11" s="177">
        <f>FALSE()</f>
        <v/>
      </c>
      <c r="G11" s="177">
        <f>FALSE()</f>
        <v/>
      </c>
      <c r="H11" s="177">
        <f>FALSE()</f>
        <v/>
      </c>
      <c r="I11" s="177">
        <f>FALSE()</f>
        <v/>
      </c>
      <c r="J11" s="177">
        <f>FALSE()</f>
        <v/>
      </c>
      <c r="K11" s="177">
        <f>FALSE()</f>
        <v/>
      </c>
      <c r="L11" s="177">
        <f>FALSE()</f>
        <v/>
      </c>
      <c r="M11" s="177">
        <f>FALSE()</f>
        <v/>
      </c>
      <c r="N11" s="177">
        <f>TRUE()</f>
        <v/>
      </c>
      <c r="O11" s="177">
        <f>TRUE()</f>
        <v/>
      </c>
      <c r="P11" s="177">
        <f>TRUE()</f>
        <v/>
      </c>
      <c r="Q11" s="177">
        <f>TRUE()</f>
        <v/>
      </c>
      <c r="R11" s="177">
        <f>TRUE()</f>
        <v/>
      </c>
      <c r="S11" s="177">
        <f>TRUE()</f>
        <v/>
      </c>
      <c r="T11" s="177">
        <f>TRUE()</f>
        <v/>
      </c>
      <c r="U11" s="177">
        <f>TRUE()</f>
        <v/>
      </c>
      <c r="V11" s="177">
        <f>TRUE()</f>
        <v/>
      </c>
      <c r="W11" s="177">
        <f>TRUE()</f>
        <v/>
      </c>
      <c r="X11" s="177">
        <f>TRUE()</f>
        <v/>
      </c>
      <c r="Y11" s="177">
        <f>TRUE()</f>
        <v/>
      </c>
      <c r="Z11" s="177">
        <f>TRUE()</f>
        <v/>
      </c>
      <c r="AA11" s="177">
        <f>TRUE()</f>
        <v/>
      </c>
      <c r="AB11" s="177">
        <f>TRUE()</f>
        <v/>
      </c>
      <c r="AC11" s="177">
        <f>TRUE()</f>
        <v/>
      </c>
    </row>
    <row r="12" ht="15" customHeight="1" s="160">
      <c r="A12" s="181" t="inlineStr">
        <is>
          <t>P&amp;E</t>
        </is>
      </c>
      <c r="B12" s="182" t="inlineStr">
        <is>
          <t>Backend Engineer</t>
        </is>
      </c>
      <c r="C12" s="183" t="n">
        <v>70000</v>
      </c>
      <c r="D12" s="182">
        <f>C12*$B$3</f>
        <v/>
      </c>
      <c r="E12" s="182">
        <f>FALSE()</f>
        <v/>
      </c>
      <c r="F12" s="182">
        <f>FALSE()</f>
        <v/>
      </c>
      <c r="G12" s="182">
        <f>FALSE()</f>
        <v/>
      </c>
      <c r="H12" s="182">
        <f>TRUE()</f>
        <v/>
      </c>
      <c r="I12" s="182">
        <f>TRUE()</f>
        <v/>
      </c>
      <c r="J12" s="182">
        <f>TRUE()</f>
        <v/>
      </c>
      <c r="K12" s="182">
        <f>TRUE()</f>
        <v/>
      </c>
      <c r="L12" s="182">
        <f>TRUE()</f>
        <v/>
      </c>
      <c r="M12" s="182">
        <f>TRUE()</f>
        <v/>
      </c>
      <c r="N12" s="182">
        <f>TRUE()</f>
        <v/>
      </c>
      <c r="O12" s="182">
        <f>TRUE()</f>
        <v/>
      </c>
      <c r="P12" s="182">
        <f>TRUE()</f>
        <v/>
      </c>
      <c r="Q12" s="182">
        <f>TRUE()</f>
        <v/>
      </c>
      <c r="R12" s="182">
        <f>TRUE()</f>
        <v/>
      </c>
      <c r="S12" s="182">
        <f>TRUE()</f>
        <v/>
      </c>
      <c r="T12" s="182">
        <f>TRUE()</f>
        <v/>
      </c>
      <c r="U12" s="182">
        <f>TRUE()</f>
        <v/>
      </c>
      <c r="V12" s="182">
        <f>TRUE()</f>
        <v/>
      </c>
      <c r="W12" s="182">
        <f>TRUE()</f>
        <v/>
      </c>
      <c r="X12" s="182">
        <f>TRUE()</f>
        <v/>
      </c>
      <c r="Y12" s="182">
        <f>TRUE()</f>
        <v/>
      </c>
      <c r="Z12" s="182">
        <f>TRUE()</f>
        <v/>
      </c>
      <c r="AA12" s="182">
        <f>TRUE()</f>
        <v/>
      </c>
      <c r="AB12" s="182">
        <f>TRUE()</f>
        <v/>
      </c>
      <c r="AC12" s="182">
        <f>TRUE()</f>
        <v/>
      </c>
    </row>
    <row r="13" ht="15" customHeight="1" s="160">
      <c r="A13" s="176" t="inlineStr">
        <is>
          <t>P&amp;E</t>
        </is>
      </c>
      <c r="B13" s="177" t="inlineStr">
        <is>
          <t>Backend Engineer</t>
        </is>
      </c>
      <c r="C13" s="178" t="n">
        <v>70000</v>
      </c>
      <c r="D13" s="177">
        <f>C13*$B$3</f>
        <v/>
      </c>
      <c r="E13" s="177">
        <f>FALSE()</f>
        <v/>
      </c>
      <c r="F13" s="177">
        <f>FALSE()</f>
        <v/>
      </c>
      <c r="G13" s="177">
        <f>FALSE()</f>
        <v/>
      </c>
      <c r="H13" s="177">
        <f>FALSE()</f>
        <v/>
      </c>
      <c r="I13" s="177">
        <f>FALSE()</f>
        <v/>
      </c>
      <c r="J13" s="177">
        <f>FALSE()</f>
        <v/>
      </c>
      <c r="K13" s="177">
        <f>FALSE()</f>
        <v/>
      </c>
      <c r="L13" s="177">
        <f>FALSE()</f>
        <v/>
      </c>
      <c r="M13" s="177">
        <f>FALSE()</f>
        <v/>
      </c>
      <c r="N13" s="177">
        <f>FALSE()</f>
        <v/>
      </c>
      <c r="O13" s="177">
        <f>FALSE()</f>
        <v/>
      </c>
      <c r="P13" s="177">
        <f>FALSE()</f>
        <v/>
      </c>
      <c r="Q13" s="177">
        <f>TRUE()</f>
        <v/>
      </c>
      <c r="R13" s="177">
        <f>TRUE()</f>
        <v/>
      </c>
      <c r="S13" s="177">
        <f>TRUE()</f>
        <v/>
      </c>
      <c r="T13" s="177">
        <f>TRUE()</f>
        <v/>
      </c>
      <c r="U13" s="177">
        <f>TRUE()</f>
        <v/>
      </c>
      <c r="V13" s="177">
        <f>TRUE()</f>
        <v/>
      </c>
      <c r="W13" s="177">
        <f>TRUE()</f>
        <v/>
      </c>
      <c r="X13" s="177">
        <f>TRUE()</f>
        <v/>
      </c>
      <c r="Y13" s="177">
        <f>TRUE()</f>
        <v/>
      </c>
      <c r="Z13" s="177">
        <f>TRUE()</f>
        <v/>
      </c>
      <c r="AA13" s="177">
        <f>TRUE()</f>
        <v/>
      </c>
      <c r="AB13" s="177">
        <f>TRUE()</f>
        <v/>
      </c>
      <c r="AC13" s="177">
        <f>TRUE()</f>
        <v/>
      </c>
    </row>
    <row r="14" ht="15" customHeight="1" s="160">
      <c r="A14" s="181" t="inlineStr">
        <is>
          <t>P&amp;E</t>
        </is>
      </c>
      <c r="B14" s="182" t="inlineStr">
        <is>
          <t>Frontend Engineer</t>
        </is>
      </c>
      <c r="C14" s="183" t="n">
        <v>60000</v>
      </c>
      <c r="D14" s="182">
        <f>C14*$B$3</f>
        <v/>
      </c>
      <c r="E14" s="182">
        <f>FALSE()</f>
        <v/>
      </c>
      <c r="F14" s="182">
        <f>FALSE()</f>
        <v/>
      </c>
      <c r="G14" s="182">
        <f>FALSE()</f>
        <v/>
      </c>
      <c r="H14" s="182">
        <f>FALSE()</f>
        <v/>
      </c>
      <c r="I14" s="182">
        <f>FALSE()</f>
        <v/>
      </c>
      <c r="J14" s="182">
        <f>FALSE()</f>
        <v/>
      </c>
      <c r="K14" s="182">
        <f>FALSE()</f>
        <v/>
      </c>
      <c r="L14" s="182">
        <f>FALSE()</f>
        <v/>
      </c>
      <c r="M14" s="182">
        <f>FALSE()</f>
        <v/>
      </c>
      <c r="N14" s="182">
        <f>TRUE()</f>
        <v/>
      </c>
      <c r="O14" s="182">
        <f>TRUE()</f>
        <v/>
      </c>
      <c r="P14" s="182">
        <f>TRUE()</f>
        <v/>
      </c>
      <c r="Q14" s="182">
        <f>TRUE()</f>
        <v/>
      </c>
      <c r="R14" s="182">
        <f>TRUE()</f>
        <v/>
      </c>
      <c r="S14" s="182">
        <f>TRUE()</f>
        <v/>
      </c>
      <c r="T14" s="182">
        <f>TRUE()</f>
        <v/>
      </c>
      <c r="U14" s="182">
        <f>TRUE()</f>
        <v/>
      </c>
      <c r="V14" s="182">
        <f>TRUE()</f>
        <v/>
      </c>
      <c r="W14" s="182">
        <f>TRUE()</f>
        <v/>
      </c>
      <c r="X14" s="182">
        <f>TRUE()</f>
        <v/>
      </c>
      <c r="Y14" s="182">
        <f>TRUE()</f>
        <v/>
      </c>
      <c r="Z14" s="182">
        <f>TRUE()</f>
        <v/>
      </c>
      <c r="AA14" s="182">
        <f>TRUE()</f>
        <v/>
      </c>
      <c r="AB14" s="182">
        <f>TRUE()</f>
        <v/>
      </c>
      <c r="AC14" s="182">
        <f>TRUE()</f>
        <v/>
      </c>
    </row>
    <row r="15" ht="15" customHeight="1" s="160">
      <c r="A15" s="176" t="inlineStr">
        <is>
          <t>P&amp;E</t>
        </is>
      </c>
      <c r="B15" s="177" t="inlineStr">
        <is>
          <t>Frontend Engineer</t>
        </is>
      </c>
      <c r="C15" s="178" t="n">
        <v>50000</v>
      </c>
      <c r="D15" s="177">
        <f>C15*$B$3</f>
        <v/>
      </c>
      <c r="E15" s="177">
        <f>FALSE()</f>
        <v/>
      </c>
      <c r="F15" s="177">
        <f>FALSE()</f>
        <v/>
      </c>
      <c r="G15" s="177">
        <f>FALSE()</f>
        <v/>
      </c>
      <c r="H15" s="177">
        <f>TRUE()</f>
        <v/>
      </c>
      <c r="I15" s="177">
        <f>TRUE()</f>
        <v/>
      </c>
      <c r="J15" s="177">
        <f>TRUE()</f>
        <v/>
      </c>
      <c r="K15" s="177">
        <f>TRUE()</f>
        <v/>
      </c>
      <c r="L15" s="177">
        <f>TRUE()</f>
        <v/>
      </c>
      <c r="M15" s="177">
        <f>TRUE()</f>
        <v/>
      </c>
      <c r="N15" s="177">
        <f>TRUE()</f>
        <v/>
      </c>
      <c r="O15" s="177">
        <f>TRUE()</f>
        <v/>
      </c>
      <c r="P15" s="177">
        <f>TRUE()</f>
        <v/>
      </c>
      <c r="Q15" s="177">
        <f>TRUE()</f>
        <v/>
      </c>
      <c r="R15" s="177">
        <f>TRUE()</f>
        <v/>
      </c>
      <c r="S15" s="177">
        <f>TRUE()</f>
        <v/>
      </c>
      <c r="T15" s="177">
        <f>TRUE()</f>
        <v/>
      </c>
      <c r="U15" s="177">
        <f>TRUE()</f>
        <v/>
      </c>
      <c r="V15" s="177">
        <f>TRUE()</f>
        <v/>
      </c>
      <c r="W15" s="177">
        <f>TRUE()</f>
        <v/>
      </c>
      <c r="X15" s="177">
        <f>TRUE()</f>
        <v/>
      </c>
      <c r="Y15" s="177">
        <f>TRUE()</f>
        <v/>
      </c>
      <c r="Z15" s="177">
        <f>TRUE()</f>
        <v/>
      </c>
      <c r="AA15" s="177">
        <f>TRUE()</f>
        <v/>
      </c>
      <c r="AB15" s="177">
        <f>TRUE()</f>
        <v/>
      </c>
      <c r="AC15" s="177">
        <f>TRUE()</f>
        <v/>
      </c>
    </row>
    <row r="16" ht="15" customHeight="1" s="160">
      <c r="A16" s="181" t="inlineStr">
        <is>
          <t>P&amp;E</t>
        </is>
      </c>
      <c r="B16" s="182" t="inlineStr">
        <is>
          <t>AI &amp; Deep Learning Researcher</t>
        </is>
      </c>
      <c r="C16" s="183" t="n">
        <v>100000</v>
      </c>
      <c r="D16" s="182">
        <f>C16*$B$3</f>
        <v/>
      </c>
      <c r="E16" s="182">
        <f>FALSE()</f>
        <v/>
      </c>
      <c r="F16" s="182">
        <f>FALSE()</f>
        <v/>
      </c>
      <c r="G16" s="182">
        <f>FALSE()</f>
        <v/>
      </c>
      <c r="H16" s="182">
        <f>TRUE()</f>
        <v/>
      </c>
      <c r="I16" s="182">
        <f>TRUE()</f>
        <v/>
      </c>
      <c r="J16" s="182">
        <f>TRUE()</f>
        <v/>
      </c>
      <c r="K16" s="182">
        <f>TRUE()</f>
        <v/>
      </c>
      <c r="L16" s="182">
        <f>TRUE()</f>
        <v/>
      </c>
      <c r="M16" s="182">
        <f>TRUE()</f>
        <v/>
      </c>
      <c r="N16" s="182">
        <f>TRUE()</f>
        <v/>
      </c>
      <c r="O16" s="182">
        <f>TRUE()</f>
        <v/>
      </c>
      <c r="P16" s="182">
        <f>TRUE()</f>
        <v/>
      </c>
      <c r="Q16" s="182">
        <f>TRUE()</f>
        <v/>
      </c>
      <c r="R16" s="182">
        <f>TRUE()</f>
        <v/>
      </c>
      <c r="S16" s="182">
        <f>TRUE()</f>
        <v/>
      </c>
      <c r="T16" s="182">
        <f>TRUE()</f>
        <v/>
      </c>
      <c r="U16" s="182">
        <f>TRUE()</f>
        <v/>
      </c>
      <c r="V16" s="182">
        <f>TRUE()</f>
        <v/>
      </c>
      <c r="W16" s="182">
        <f>TRUE()</f>
        <v/>
      </c>
      <c r="X16" s="182">
        <f>TRUE()</f>
        <v/>
      </c>
      <c r="Y16" s="182">
        <f>TRUE()</f>
        <v/>
      </c>
      <c r="Z16" s="182">
        <f>TRUE()</f>
        <v/>
      </c>
      <c r="AA16" s="182">
        <f>TRUE()</f>
        <v/>
      </c>
      <c r="AB16" s="182">
        <f>TRUE()</f>
        <v/>
      </c>
      <c r="AC16" s="182">
        <f>TRUE()</f>
        <v/>
      </c>
    </row>
    <row r="17" ht="15" customHeight="1" s="160">
      <c r="A17" s="176" t="inlineStr">
        <is>
          <t>P&amp;E</t>
        </is>
      </c>
      <c r="B17" s="177" t="inlineStr">
        <is>
          <t>AI &amp; Deep Learning Researcher</t>
        </is>
      </c>
      <c r="C17" s="178" t="n">
        <v>100000</v>
      </c>
      <c r="D17" s="177">
        <f>C17*$B$3</f>
        <v/>
      </c>
      <c r="E17" s="177">
        <f>FALSE()</f>
        <v/>
      </c>
      <c r="F17" s="177">
        <f>FALSE()</f>
        <v/>
      </c>
      <c r="G17" s="177">
        <f>FALSE()</f>
        <v/>
      </c>
      <c r="H17" s="177">
        <f>FALSE()</f>
        <v/>
      </c>
      <c r="I17" s="177">
        <f>FALSE()</f>
        <v/>
      </c>
      <c r="J17" s="177">
        <f>FALSE()</f>
        <v/>
      </c>
      <c r="K17" s="177">
        <f>FALSE()</f>
        <v/>
      </c>
      <c r="L17" s="177">
        <f>FALSE()</f>
        <v/>
      </c>
      <c r="M17" s="177">
        <f>FALSE()</f>
        <v/>
      </c>
      <c r="N17" s="177">
        <f>TRUE()</f>
        <v/>
      </c>
      <c r="O17" s="177">
        <f>TRUE()</f>
        <v/>
      </c>
      <c r="P17" s="177">
        <f>TRUE()</f>
        <v/>
      </c>
      <c r="Q17" s="177">
        <f>TRUE()</f>
        <v/>
      </c>
      <c r="R17" s="177">
        <f>TRUE()</f>
        <v/>
      </c>
      <c r="S17" s="177">
        <f>TRUE()</f>
        <v/>
      </c>
      <c r="T17" s="177">
        <f>TRUE()</f>
        <v/>
      </c>
      <c r="U17" s="177">
        <f>TRUE()</f>
        <v/>
      </c>
      <c r="V17" s="177">
        <f>TRUE()</f>
        <v/>
      </c>
      <c r="W17" s="177">
        <f>TRUE()</f>
        <v/>
      </c>
      <c r="X17" s="177">
        <f>TRUE()</f>
        <v/>
      </c>
      <c r="Y17" s="177">
        <f>TRUE()</f>
        <v/>
      </c>
      <c r="Z17" s="177">
        <f>TRUE()</f>
        <v/>
      </c>
      <c r="AA17" s="177">
        <f>TRUE()</f>
        <v/>
      </c>
      <c r="AB17" s="177">
        <f>TRUE()</f>
        <v/>
      </c>
      <c r="AC17" s="177">
        <f>TRUE()</f>
        <v/>
      </c>
    </row>
    <row r="18" ht="15" customHeight="1" s="160">
      <c r="A18" s="181" t="inlineStr">
        <is>
          <t>P&amp;E</t>
        </is>
      </c>
      <c r="B18" s="182" t="inlineStr">
        <is>
          <t>AI &amp; Deep Learning Researcher</t>
        </is>
      </c>
      <c r="C18" s="183" t="n">
        <v>100000</v>
      </c>
      <c r="D18" s="182">
        <f>C18*$B$3</f>
        <v/>
      </c>
      <c r="E18" s="182">
        <f>FALSE()</f>
        <v/>
      </c>
      <c r="F18" s="182">
        <f>FALSE()</f>
        <v/>
      </c>
      <c r="G18" s="182">
        <f>FALSE()</f>
        <v/>
      </c>
      <c r="H18" s="182">
        <f>FALSE()</f>
        <v/>
      </c>
      <c r="I18" s="182">
        <f>FALSE()</f>
        <v/>
      </c>
      <c r="J18" s="182">
        <f>FALSE()</f>
        <v/>
      </c>
      <c r="K18" s="182">
        <f>FALSE()</f>
        <v/>
      </c>
      <c r="L18" s="182">
        <f>FALSE()</f>
        <v/>
      </c>
      <c r="M18" s="182">
        <f>FALSE()</f>
        <v/>
      </c>
      <c r="N18" s="182">
        <f>FALSE()</f>
        <v/>
      </c>
      <c r="O18" s="182">
        <f>FALSE()</f>
        <v/>
      </c>
      <c r="P18" s="182">
        <f>FALSE()</f>
        <v/>
      </c>
      <c r="Q18" s="182">
        <f>TRUE()</f>
        <v/>
      </c>
      <c r="R18" s="182">
        <f>TRUE()</f>
        <v/>
      </c>
      <c r="S18" s="182">
        <f>TRUE()</f>
        <v/>
      </c>
      <c r="T18" s="182">
        <f>TRUE()</f>
        <v/>
      </c>
      <c r="U18" s="182">
        <f>TRUE()</f>
        <v/>
      </c>
      <c r="V18" s="182">
        <f>TRUE()</f>
        <v/>
      </c>
      <c r="W18" s="182">
        <f>TRUE()</f>
        <v/>
      </c>
      <c r="X18" s="182">
        <f>TRUE()</f>
        <v/>
      </c>
      <c r="Y18" s="182">
        <f>TRUE()</f>
        <v/>
      </c>
      <c r="Z18" s="182">
        <f>TRUE()</f>
        <v/>
      </c>
      <c r="AA18" s="182">
        <f>TRUE()</f>
        <v/>
      </c>
      <c r="AB18" s="182">
        <f>TRUE()</f>
        <v/>
      </c>
      <c r="AC18" s="182">
        <f>TRUE()</f>
        <v/>
      </c>
    </row>
    <row r="19" ht="15" customHeight="1" s="160">
      <c r="A19" s="176" t="inlineStr">
        <is>
          <t>P&amp;E</t>
        </is>
      </c>
      <c r="B19" s="177" t="inlineStr">
        <is>
          <t>Cloud Architect</t>
        </is>
      </c>
      <c r="C19" s="178" t="n">
        <v>80000</v>
      </c>
      <c r="D19" s="177">
        <f>C19*$B$3</f>
        <v/>
      </c>
      <c r="E19" s="177">
        <f>FALSE()</f>
        <v/>
      </c>
      <c r="F19" s="177">
        <f>FALSE()</f>
        <v/>
      </c>
      <c r="G19" s="177">
        <f>FALSE()</f>
        <v/>
      </c>
      <c r="H19" s="177">
        <f>FALSE()</f>
        <v/>
      </c>
      <c r="I19" s="177">
        <f>FALSE()</f>
        <v/>
      </c>
      <c r="J19" s="177">
        <f>FALSE()</f>
        <v/>
      </c>
      <c r="K19" s="177">
        <f>FALSE()</f>
        <v/>
      </c>
      <c r="L19" s="177">
        <f>FALSE()</f>
        <v/>
      </c>
      <c r="M19" s="177">
        <f>FALSE()</f>
        <v/>
      </c>
      <c r="N19" s="177">
        <f>TRUE()</f>
        <v/>
      </c>
      <c r="O19" s="177">
        <f>TRUE()</f>
        <v/>
      </c>
      <c r="P19" s="177">
        <f>TRUE()</f>
        <v/>
      </c>
      <c r="Q19" s="177">
        <f>TRUE()</f>
        <v/>
      </c>
      <c r="R19" s="177">
        <f>TRUE()</f>
        <v/>
      </c>
      <c r="S19" s="177">
        <f>TRUE()</f>
        <v/>
      </c>
      <c r="T19" s="177">
        <f>TRUE()</f>
        <v/>
      </c>
      <c r="U19" s="177">
        <f>TRUE()</f>
        <v/>
      </c>
      <c r="V19" s="177">
        <f>TRUE()</f>
        <v/>
      </c>
      <c r="W19" s="177">
        <f>TRUE()</f>
        <v/>
      </c>
      <c r="X19" s="177">
        <f>TRUE()</f>
        <v/>
      </c>
      <c r="Y19" s="177">
        <f>TRUE()</f>
        <v/>
      </c>
      <c r="Z19" s="177">
        <f>TRUE()</f>
        <v/>
      </c>
      <c r="AA19" s="177">
        <f>TRUE()</f>
        <v/>
      </c>
      <c r="AB19" s="177">
        <f>TRUE()</f>
        <v/>
      </c>
      <c r="AC19" s="177">
        <f>TRUE()</f>
        <v/>
      </c>
    </row>
    <row r="20" ht="15" customHeight="1" s="160">
      <c r="A20" s="181" t="inlineStr">
        <is>
          <t>P&amp;E</t>
        </is>
      </c>
      <c r="B20" s="182" t="inlineStr">
        <is>
          <t>Product Designer</t>
        </is>
      </c>
      <c r="C20" s="183" t="n">
        <v>60000</v>
      </c>
      <c r="D20" s="182">
        <f>C20*$B$3</f>
        <v/>
      </c>
      <c r="E20" s="182">
        <f>FALSE()</f>
        <v/>
      </c>
      <c r="F20" s="182">
        <f>FALSE()</f>
        <v/>
      </c>
      <c r="G20" s="182">
        <f>FALSE()</f>
        <v/>
      </c>
      <c r="H20" s="182">
        <f>TRUE()</f>
        <v/>
      </c>
      <c r="I20" s="182">
        <f>TRUE()</f>
        <v/>
      </c>
      <c r="J20" s="182">
        <f>TRUE()</f>
        <v/>
      </c>
      <c r="K20" s="182">
        <f>TRUE()</f>
        <v/>
      </c>
      <c r="L20" s="182">
        <f>TRUE()</f>
        <v/>
      </c>
      <c r="M20" s="182">
        <f>TRUE()</f>
        <v/>
      </c>
      <c r="N20" s="182">
        <f>TRUE()</f>
        <v/>
      </c>
      <c r="O20" s="182">
        <f>TRUE()</f>
        <v/>
      </c>
      <c r="P20" s="182">
        <f>TRUE()</f>
        <v/>
      </c>
      <c r="Q20" s="182">
        <f>TRUE()</f>
        <v/>
      </c>
      <c r="R20" s="182">
        <f>TRUE()</f>
        <v/>
      </c>
      <c r="S20" s="182">
        <f>TRUE()</f>
        <v/>
      </c>
      <c r="T20" s="182">
        <f>TRUE()</f>
        <v/>
      </c>
      <c r="U20" s="182">
        <f>TRUE()</f>
        <v/>
      </c>
      <c r="V20" s="182">
        <f>TRUE()</f>
        <v/>
      </c>
      <c r="W20" s="182">
        <f>TRUE()</f>
        <v/>
      </c>
      <c r="X20" s="182">
        <f>TRUE()</f>
        <v/>
      </c>
      <c r="Y20" s="182">
        <f>TRUE()</f>
        <v/>
      </c>
      <c r="Z20" s="182">
        <f>TRUE()</f>
        <v/>
      </c>
      <c r="AA20" s="182">
        <f>TRUE()</f>
        <v/>
      </c>
      <c r="AB20" s="182">
        <f>TRUE()</f>
        <v/>
      </c>
      <c r="AC20" s="182">
        <f>TRUE()</f>
        <v/>
      </c>
    </row>
    <row r="21" ht="15" customHeight="1" s="160">
      <c r="A21" s="176" t="inlineStr">
        <is>
          <t>S&amp;M</t>
        </is>
      </c>
      <c r="B21" s="177" t="inlineStr">
        <is>
          <t>Account Executive</t>
        </is>
      </c>
      <c r="C21" s="178" t="n">
        <v>80000</v>
      </c>
      <c r="D21" s="177">
        <f>C21*$B$3</f>
        <v/>
      </c>
      <c r="E21" s="177">
        <f>FALSE()</f>
        <v/>
      </c>
      <c r="F21" s="177">
        <f>FALSE()</f>
        <v/>
      </c>
      <c r="G21" s="177">
        <f>FALSE()</f>
        <v/>
      </c>
      <c r="H21" s="177">
        <f>TRUE()</f>
        <v/>
      </c>
      <c r="I21" s="177">
        <f>TRUE()</f>
        <v/>
      </c>
      <c r="J21" s="177">
        <f>TRUE()</f>
        <v/>
      </c>
      <c r="K21" s="177">
        <f>TRUE()</f>
        <v/>
      </c>
      <c r="L21" s="177">
        <f>TRUE()</f>
        <v/>
      </c>
      <c r="M21" s="177">
        <f>TRUE()</f>
        <v/>
      </c>
      <c r="N21" s="177">
        <f>TRUE()</f>
        <v/>
      </c>
      <c r="O21" s="177">
        <f>TRUE()</f>
        <v/>
      </c>
      <c r="P21" s="177">
        <f>TRUE()</f>
        <v/>
      </c>
      <c r="Q21" s="177">
        <f>TRUE()</f>
        <v/>
      </c>
      <c r="R21" s="177">
        <f>TRUE()</f>
        <v/>
      </c>
      <c r="S21" s="177">
        <f>TRUE()</f>
        <v/>
      </c>
      <c r="T21" s="177">
        <f>TRUE()</f>
        <v/>
      </c>
      <c r="U21" s="177">
        <f>TRUE()</f>
        <v/>
      </c>
      <c r="V21" s="177">
        <f>TRUE()</f>
        <v/>
      </c>
      <c r="W21" s="177">
        <f>TRUE()</f>
        <v/>
      </c>
      <c r="X21" s="177">
        <f>TRUE()</f>
        <v/>
      </c>
      <c r="Y21" s="177">
        <f>TRUE()</f>
        <v/>
      </c>
      <c r="Z21" s="177">
        <f>TRUE()</f>
        <v/>
      </c>
      <c r="AA21" s="177">
        <f>TRUE()</f>
        <v/>
      </c>
      <c r="AB21" s="177">
        <f>TRUE()</f>
        <v/>
      </c>
      <c r="AC21" s="177">
        <f>TRUE()</f>
        <v/>
      </c>
    </row>
    <row r="22" ht="15" customHeight="1" s="160">
      <c r="A22" s="181" t="inlineStr">
        <is>
          <t>S&amp;M</t>
        </is>
      </c>
      <c r="B22" s="182" t="inlineStr">
        <is>
          <t>Account Executive</t>
        </is>
      </c>
      <c r="C22" s="183" t="n">
        <v>80000</v>
      </c>
      <c r="D22" s="182">
        <f>C22*$B$3</f>
        <v/>
      </c>
      <c r="E22" s="182">
        <f>FALSE()</f>
        <v/>
      </c>
      <c r="F22" s="182">
        <f>FALSE()</f>
        <v/>
      </c>
      <c r="G22" s="182">
        <f>FALSE()</f>
        <v/>
      </c>
      <c r="H22" s="182">
        <f>FALSE()</f>
        <v/>
      </c>
      <c r="I22" s="182">
        <f>FALSE()</f>
        <v/>
      </c>
      <c r="J22" s="182">
        <f>FALSE()</f>
        <v/>
      </c>
      <c r="K22" s="182">
        <f>FALSE()</f>
        <v/>
      </c>
      <c r="L22" s="182">
        <f>FALSE()</f>
        <v/>
      </c>
      <c r="M22" s="182">
        <f>FALSE()</f>
        <v/>
      </c>
      <c r="N22" s="182">
        <f>TRUE()</f>
        <v/>
      </c>
      <c r="O22" s="182">
        <f>TRUE()</f>
        <v/>
      </c>
      <c r="P22" s="182">
        <f>TRUE()</f>
        <v/>
      </c>
      <c r="Q22" s="182">
        <f>TRUE()</f>
        <v/>
      </c>
      <c r="R22" s="182">
        <f>TRUE()</f>
        <v/>
      </c>
      <c r="S22" s="182">
        <f>TRUE()</f>
        <v/>
      </c>
      <c r="T22" s="182">
        <f>TRUE()</f>
        <v/>
      </c>
      <c r="U22" s="182">
        <f>TRUE()</f>
        <v/>
      </c>
      <c r="V22" s="182">
        <f>TRUE()</f>
        <v/>
      </c>
      <c r="W22" s="182">
        <f>TRUE()</f>
        <v/>
      </c>
      <c r="X22" s="182">
        <f>TRUE()</f>
        <v/>
      </c>
      <c r="Y22" s="182">
        <f>TRUE()</f>
        <v/>
      </c>
      <c r="Z22" s="182">
        <f>TRUE()</f>
        <v/>
      </c>
      <c r="AA22" s="182">
        <f>TRUE()</f>
        <v/>
      </c>
      <c r="AB22" s="182">
        <f>TRUE()</f>
        <v/>
      </c>
      <c r="AC22" s="182">
        <f>TRUE()</f>
        <v/>
      </c>
    </row>
    <row r="23" ht="15" customHeight="1" s="160">
      <c r="A23" s="176" t="inlineStr">
        <is>
          <t>S&amp;M</t>
        </is>
      </c>
      <c r="B23" s="177" t="inlineStr">
        <is>
          <t>Account Executive</t>
        </is>
      </c>
      <c r="C23" s="178" t="n">
        <v>80000</v>
      </c>
      <c r="D23" s="177">
        <f>C23*$B$3</f>
        <v/>
      </c>
      <c r="E23" s="177">
        <f>FALSE()</f>
        <v/>
      </c>
      <c r="F23" s="177">
        <f>FALSE()</f>
        <v/>
      </c>
      <c r="G23" s="177">
        <f>FALSE()</f>
        <v/>
      </c>
      <c r="H23" s="177">
        <f>FALSE()</f>
        <v/>
      </c>
      <c r="I23" s="177">
        <f>FALSE()</f>
        <v/>
      </c>
      <c r="J23" s="177">
        <f>FALSE()</f>
        <v/>
      </c>
      <c r="K23" s="177">
        <f>FALSE()</f>
        <v/>
      </c>
      <c r="L23" s="177">
        <f>FALSE()</f>
        <v/>
      </c>
      <c r="M23" s="177">
        <f>FALSE()</f>
        <v/>
      </c>
      <c r="N23" s="177">
        <f>FALSE()</f>
        <v/>
      </c>
      <c r="O23" s="177">
        <f>FALSE()</f>
        <v/>
      </c>
      <c r="P23" s="177">
        <f>TRUE()</f>
        <v/>
      </c>
      <c r="Q23" s="177">
        <f>TRUE()</f>
        <v/>
      </c>
      <c r="R23" s="177">
        <f>TRUE()</f>
        <v/>
      </c>
      <c r="S23" s="177">
        <f>TRUE()</f>
        <v/>
      </c>
      <c r="T23" s="177">
        <f>TRUE()</f>
        <v/>
      </c>
      <c r="U23" s="177">
        <f>TRUE()</f>
        <v/>
      </c>
      <c r="V23" s="177">
        <f>TRUE()</f>
        <v/>
      </c>
      <c r="W23" s="177">
        <f>TRUE()</f>
        <v/>
      </c>
      <c r="X23" s="177">
        <f>TRUE()</f>
        <v/>
      </c>
      <c r="Y23" s="177">
        <f>TRUE()</f>
        <v/>
      </c>
      <c r="Z23" s="177">
        <f>TRUE()</f>
        <v/>
      </c>
      <c r="AA23" s="177">
        <f>TRUE()</f>
        <v/>
      </c>
      <c r="AB23" s="177">
        <f>TRUE()</f>
        <v/>
      </c>
      <c r="AC23" s="177">
        <f>TRUE()</f>
        <v/>
      </c>
    </row>
    <row r="24" ht="15" customHeight="1" s="160">
      <c r="A24" s="181" t="inlineStr">
        <is>
          <t>S&amp;M</t>
        </is>
      </c>
      <c r="B24" s="182" t="inlineStr">
        <is>
          <t>Account Executive</t>
        </is>
      </c>
      <c r="C24" s="183" t="n">
        <v>80000</v>
      </c>
      <c r="D24" s="182">
        <f>C24*$B$3</f>
        <v/>
      </c>
      <c r="E24" s="182">
        <f>FALSE()</f>
        <v/>
      </c>
      <c r="F24" s="182">
        <f>FALSE()</f>
        <v/>
      </c>
      <c r="G24" s="182">
        <f>FALSE()</f>
        <v/>
      </c>
      <c r="H24" s="182">
        <f>FALSE()</f>
        <v/>
      </c>
      <c r="I24" s="182">
        <f>FALSE()</f>
        <v/>
      </c>
      <c r="J24" s="182">
        <f>FALSE()</f>
        <v/>
      </c>
      <c r="K24" s="182">
        <f>FALSE()</f>
        <v/>
      </c>
      <c r="L24" s="182">
        <f>FALSE()</f>
        <v/>
      </c>
      <c r="M24" s="182">
        <f>FALSE()</f>
        <v/>
      </c>
      <c r="N24" s="182">
        <f>FALSE()</f>
        <v/>
      </c>
      <c r="O24" s="182">
        <f>FALSE()</f>
        <v/>
      </c>
      <c r="P24" s="182">
        <f>FALSE()</f>
        <v/>
      </c>
      <c r="Q24" s="182">
        <f>TRUE()</f>
        <v/>
      </c>
      <c r="R24" s="182">
        <f>TRUE()</f>
        <v/>
      </c>
      <c r="S24" s="182">
        <f>TRUE()</f>
        <v/>
      </c>
      <c r="T24" s="182">
        <f>TRUE()</f>
        <v/>
      </c>
      <c r="U24" s="182">
        <f>TRUE()</f>
        <v/>
      </c>
      <c r="V24" s="182">
        <f>TRUE()</f>
        <v/>
      </c>
      <c r="W24" s="182">
        <f>TRUE()</f>
        <v/>
      </c>
      <c r="X24" s="182">
        <f>TRUE()</f>
        <v/>
      </c>
      <c r="Y24" s="182">
        <f>TRUE()</f>
        <v/>
      </c>
      <c r="Z24" s="182">
        <f>TRUE()</f>
        <v/>
      </c>
      <c r="AA24" s="182">
        <f>TRUE()</f>
        <v/>
      </c>
      <c r="AB24" s="182">
        <f>TRUE()</f>
        <v/>
      </c>
      <c r="AC24" s="182">
        <f>TRUE()</f>
        <v/>
      </c>
    </row>
    <row r="25" ht="15" customHeight="1" s="160">
      <c r="A25" s="176" t="inlineStr">
        <is>
          <t>S&amp;M</t>
        </is>
      </c>
      <c r="B25" s="177" t="inlineStr">
        <is>
          <t>Account Executive</t>
        </is>
      </c>
      <c r="C25" s="178" t="n">
        <v>80000</v>
      </c>
      <c r="D25" s="177">
        <f>C25*$B$3</f>
        <v/>
      </c>
      <c r="E25" s="177">
        <f>FALSE()</f>
        <v/>
      </c>
      <c r="F25" s="177">
        <f>FALSE()</f>
        <v/>
      </c>
      <c r="G25" s="177">
        <f>FALSE()</f>
        <v/>
      </c>
      <c r="H25" s="177">
        <f>FALSE()</f>
        <v/>
      </c>
      <c r="I25" s="177">
        <f>FALSE()</f>
        <v/>
      </c>
      <c r="J25" s="177">
        <f>FALSE()</f>
        <v/>
      </c>
      <c r="K25" s="177">
        <f>FALSE()</f>
        <v/>
      </c>
      <c r="L25" s="177">
        <f>FALSE()</f>
        <v/>
      </c>
      <c r="M25" s="177">
        <f>FALSE()</f>
        <v/>
      </c>
      <c r="N25" s="177">
        <f>FALSE()</f>
        <v/>
      </c>
      <c r="O25" s="177">
        <f>FALSE()</f>
        <v/>
      </c>
      <c r="P25" s="177">
        <f>FALSE()</f>
        <v/>
      </c>
      <c r="Q25" s="177">
        <f>FALSE()</f>
        <v/>
      </c>
      <c r="R25" s="177">
        <f>FALSE()</f>
        <v/>
      </c>
      <c r="S25" s="177">
        <f>TRUE()</f>
        <v/>
      </c>
      <c r="T25" s="177">
        <f>TRUE()</f>
        <v/>
      </c>
      <c r="U25" s="177">
        <f>TRUE()</f>
        <v/>
      </c>
      <c r="V25" s="177">
        <f>TRUE()</f>
        <v/>
      </c>
      <c r="W25" s="177">
        <f>TRUE()</f>
        <v/>
      </c>
      <c r="X25" s="177">
        <f>TRUE()</f>
        <v/>
      </c>
      <c r="Y25" s="177">
        <f>TRUE()</f>
        <v/>
      </c>
      <c r="Z25" s="177">
        <f>TRUE()</f>
        <v/>
      </c>
      <c r="AA25" s="177">
        <f>TRUE()</f>
        <v/>
      </c>
      <c r="AB25" s="177">
        <f>TRUE()</f>
        <v/>
      </c>
      <c r="AC25" s="177">
        <f>TRUE()</f>
        <v/>
      </c>
    </row>
    <row r="26" ht="15" customHeight="1" s="160">
      <c r="A26" s="181" t="inlineStr">
        <is>
          <t>S&amp;M</t>
        </is>
      </c>
      <c r="B26" s="182" t="inlineStr">
        <is>
          <t>Account Executive</t>
        </is>
      </c>
      <c r="C26" s="183" t="n">
        <v>80000</v>
      </c>
      <c r="D26" s="182">
        <f>C26*$B$3</f>
        <v/>
      </c>
      <c r="E26" s="182">
        <f>FALSE()</f>
        <v/>
      </c>
      <c r="F26" s="182">
        <f>FALSE()</f>
        <v/>
      </c>
      <c r="G26" s="182">
        <f>FALSE()</f>
        <v/>
      </c>
      <c r="H26" s="182">
        <f>FALSE()</f>
        <v/>
      </c>
      <c r="I26" s="182">
        <f>FALSE()</f>
        <v/>
      </c>
      <c r="J26" s="182">
        <f>FALSE()</f>
        <v/>
      </c>
      <c r="K26" s="182">
        <f>FALSE()</f>
        <v/>
      </c>
      <c r="L26" s="182">
        <f>FALSE()</f>
        <v/>
      </c>
      <c r="M26" s="182">
        <f>FALSE()</f>
        <v/>
      </c>
      <c r="N26" s="182">
        <f>FALSE()</f>
        <v/>
      </c>
      <c r="O26" s="182">
        <f>FALSE()</f>
        <v/>
      </c>
      <c r="P26" s="182">
        <f>FALSE()</f>
        <v/>
      </c>
      <c r="Q26" s="182">
        <f>FALSE()</f>
        <v/>
      </c>
      <c r="R26" s="182">
        <f>FALSE()</f>
        <v/>
      </c>
      <c r="S26" s="182">
        <f>FALSE()</f>
        <v/>
      </c>
      <c r="T26" s="182">
        <f>TRUE()</f>
        <v/>
      </c>
      <c r="U26" s="182">
        <f>TRUE()</f>
        <v/>
      </c>
      <c r="V26" s="182">
        <f>TRUE()</f>
        <v/>
      </c>
      <c r="W26" s="182">
        <f>TRUE()</f>
        <v/>
      </c>
      <c r="X26" s="182">
        <f>TRUE()</f>
        <v/>
      </c>
      <c r="Y26" s="182">
        <f>TRUE()</f>
        <v/>
      </c>
      <c r="Z26" s="182">
        <f>TRUE()</f>
        <v/>
      </c>
      <c r="AA26" s="182">
        <f>TRUE()</f>
        <v/>
      </c>
      <c r="AB26" s="182">
        <f>TRUE()</f>
        <v/>
      </c>
      <c r="AC26" s="182">
        <f>TRUE()</f>
        <v/>
      </c>
    </row>
    <row r="27" ht="15" customHeight="1" s="160">
      <c r="A27" s="176" t="inlineStr">
        <is>
          <t>S&amp;M</t>
        </is>
      </c>
      <c r="B27" s="177" t="inlineStr">
        <is>
          <t>Account Executive</t>
        </is>
      </c>
      <c r="C27" s="178" t="n">
        <v>80000</v>
      </c>
      <c r="D27" s="177">
        <f>C27*$B$3</f>
        <v/>
      </c>
      <c r="E27" s="177">
        <f>FALSE()</f>
        <v/>
      </c>
      <c r="F27" s="177">
        <f>FALSE()</f>
        <v/>
      </c>
      <c r="G27" s="177">
        <f>FALSE()</f>
        <v/>
      </c>
      <c r="H27" s="177">
        <f>FALSE()</f>
        <v/>
      </c>
      <c r="I27" s="177">
        <f>FALSE()</f>
        <v/>
      </c>
      <c r="J27" s="177">
        <f>FALSE()</f>
        <v/>
      </c>
      <c r="K27" s="177">
        <f>FALSE()</f>
        <v/>
      </c>
      <c r="L27" s="177">
        <f>FALSE()</f>
        <v/>
      </c>
      <c r="M27" s="177">
        <f>FALSE()</f>
        <v/>
      </c>
      <c r="N27" s="177">
        <f>FALSE()</f>
        <v/>
      </c>
      <c r="O27" s="177">
        <f>FALSE()</f>
        <v/>
      </c>
      <c r="P27" s="177">
        <f>FALSE()</f>
        <v/>
      </c>
      <c r="Q27" s="177">
        <f>FALSE()</f>
        <v/>
      </c>
      <c r="R27" s="177">
        <f>FALSE()</f>
        <v/>
      </c>
      <c r="S27" s="177">
        <f>FALSE()</f>
        <v/>
      </c>
      <c r="T27" s="177">
        <f>FALSE()</f>
        <v/>
      </c>
      <c r="U27" s="177">
        <f>TRUE()</f>
        <v/>
      </c>
      <c r="V27" s="177">
        <f>TRUE()</f>
        <v/>
      </c>
      <c r="W27" s="177">
        <f>TRUE()</f>
        <v/>
      </c>
      <c r="X27" s="177">
        <f>TRUE()</f>
        <v/>
      </c>
      <c r="Y27" s="177">
        <f>TRUE()</f>
        <v/>
      </c>
      <c r="Z27" s="177">
        <f>TRUE()</f>
        <v/>
      </c>
      <c r="AA27" s="177">
        <f>TRUE()</f>
        <v/>
      </c>
      <c r="AB27" s="177">
        <f>TRUE()</f>
        <v/>
      </c>
      <c r="AC27" s="177">
        <f>TRUE()</f>
        <v/>
      </c>
    </row>
    <row r="28" ht="15" customHeight="1" s="160">
      <c r="A28" s="181" t="inlineStr">
        <is>
          <t>S&amp;M</t>
        </is>
      </c>
      <c r="B28" s="182" t="inlineStr">
        <is>
          <t>Growth Marketing Manager</t>
        </is>
      </c>
      <c r="C28" s="183" t="n">
        <v>55000</v>
      </c>
      <c r="D28" s="182">
        <f>C28*$B$3</f>
        <v/>
      </c>
      <c r="E28" s="182">
        <f>FALSE()</f>
        <v/>
      </c>
      <c r="F28" s="182">
        <f>FALSE()</f>
        <v/>
      </c>
      <c r="G28" s="182">
        <f>FALSE()</f>
        <v/>
      </c>
      <c r="H28" s="182">
        <f>FALSE()</f>
        <v/>
      </c>
      <c r="I28" s="182">
        <f>FALSE()</f>
        <v/>
      </c>
      <c r="J28" s="182">
        <f>FALSE()</f>
        <v/>
      </c>
      <c r="K28" s="182">
        <f>FALSE()</f>
        <v/>
      </c>
      <c r="L28" s="182">
        <f>FALSE()</f>
        <v/>
      </c>
      <c r="M28" s="182">
        <f>FALSE()</f>
        <v/>
      </c>
      <c r="N28" s="182">
        <f>FALSE()</f>
        <v/>
      </c>
      <c r="O28" s="182">
        <f>FALSE()</f>
        <v/>
      </c>
      <c r="P28" s="182">
        <f>FALSE()</f>
        <v/>
      </c>
      <c r="Q28" s="182">
        <f>TRUE()</f>
        <v/>
      </c>
      <c r="R28" s="182">
        <f>TRUE()</f>
        <v/>
      </c>
      <c r="S28" s="182">
        <f>TRUE()</f>
        <v/>
      </c>
      <c r="T28" s="182">
        <f>TRUE()</f>
        <v/>
      </c>
      <c r="U28" s="182">
        <f>TRUE()</f>
        <v/>
      </c>
      <c r="V28" s="182">
        <f>TRUE()</f>
        <v/>
      </c>
      <c r="W28" s="182">
        <f>TRUE()</f>
        <v/>
      </c>
      <c r="X28" s="182">
        <f>TRUE()</f>
        <v/>
      </c>
      <c r="Y28" s="182">
        <f>TRUE()</f>
        <v/>
      </c>
      <c r="Z28" s="182">
        <f>TRUE()</f>
        <v/>
      </c>
      <c r="AA28" s="182">
        <f>TRUE()</f>
        <v/>
      </c>
      <c r="AB28" s="182">
        <f>TRUE()</f>
        <v/>
      </c>
      <c r="AC28" s="182">
        <f>TRUE()</f>
        <v/>
      </c>
    </row>
    <row r="29" ht="15" customHeight="1" s="160">
      <c r="A29" s="176" t="inlineStr">
        <is>
          <t>G&amp;A</t>
        </is>
      </c>
      <c r="B29" s="177" t="inlineStr">
        <is>
          <t>Finance Director</t>
        </is>
      </c>
      <c r="C29" s="178" t="n">
        <v>80000</v>
      </c>
      <c r="D29" s="177">
        <f>C29*$B$3</f>
        <v/>
      </c>
      <c r="E29" s="177">
        <f>FALSE()</f>
        <v/>
      </c>
      <c r="F29" s="177">
        <f>FALSE()</f>
        <v/>
      </c>
      <c r="G29" s="177">
        <f>FALSE()</f>
        <v/>
      </c>
      <c r="H29" s="177">
        <f>FALSE()</f>
        <v/>
      </c>
      <c r="I29" s="177">
        <f>FALSE()</f>
        <v/>
      </c>
      <c r="J29" s="177">
        <f>FALSE()</f>
        <v/>
      </c>
      <c r="K29" s="177">
        <f>FALSE()</f>
        <v/>
      </c>
      <c r="L29" s="177">
        <f>FALSE()</f>
        <v/>
      </c>
      <c r="M29" s="177">
        <f>FALSE()</f>
        <v/>
      </c>
      <c r="N29" s="177">
        <f>FALSE()</f>
        <v/>
      </c>
      <c r="O29" s="177">
        <f>FALSE()</f>
        <v/>
      </c>
      <c r="P29" s="177">
        <f>FALSE()</f>
        <v/>
      </c>
      <c r="Q29" s="177">
        <f>TRUE()</f>
        <v/>
      </c>
      <c r="R29" s="177">
        <f>TRUE()</f>
        <v/>
      </c>
      <c r="S29" s="177">
        <f>TRUE()</f>
        <v/>
      </c>
      <c r="T29" s="177">
        <f>TRUE()</f>
        <v/>
      </c>
      <c r="U29" s="177">
        <f>TRUE()</f>
        <v/>
      </c>
      <c r="V29" s="177">
        <f>TRUE()</f>
        <v/>
      </c>
      <c r="W29" s="177">
        <f>TRUE()</f>
        <v/>
      </c>
      <c r="X29" s="177">
        <f>TRUE()</f>
        <v/>
      </c>
      <c r="Y29" s="177">
        <f>TRUE()</f>
        <v/>
      </c>
      <c r="Z29" s="177">
        <f>TRUE()</f>
        <v/>
      </c>
      <c r="AA29" s="177">
        <f>TRUE()</f>
        <v/>
      </c>
      <c r="AB29" s="177">
        <f>TRUE()</f>
        <v/>
      </c>
      <c r="AC29" s="177">
        <f>TRUE()</f>
        <v/>
      </c>
    </row>
    <row r="31" ht="15" customHeight="1" s="160">
      <c r="A31" s="188" t="inlineStr">
        <is>
          <t>B. COST PER EMPLOYEE (period)</t>
        </is>
      </c>
      <c r="B31" s="188" t="n"/>
      <c r="C31" s="187" t="n"/>
      <c r="D31" s="187" t="n"/>
      <c r="E31" s="187" t="n"/>
      <c r="F31" s="187" t="n"/>
      <c r="G31" s="187" t="n"/>
      <c r="H31" s="187" t="n"/>
      <c r="I31" s="187" t="n"/>
      <c r="J31" s="187" t="n"/>
      <c r="K31" s="187" t="n"/>
      <c r="L31" s="187" t="n"/>
      <c r="M31" s="187" t="n"/>
      <c r="N31" s="187" t="n"/>
      <c r="O31" s="187" t="n"/>
      <c r="P31" s="187" t="n"/>
      <c r="Q31" s="187" t="n"/>
      <c r="R31" s="187" t="n"/>
      <c r="S31" s="187" t="n"/>
      <c r="T31" s="187" t="n"/>
      <c r="U31" s="187" t="n"/>
      <c r="V31" s="187" t="n"/>
      <c r="W31" s="187" t="n"/>
      <c r="X31" s="187" t="n"/>
      <c r="Y31" s="187" t="n"/>
      <c r="Z31" s="187" t="n"/>
      <c r="AA31" s="187" t="n"/>
      <c r="AB31" s="187" t="n"/>
      <c r="AC31" s="187" t="n"/>
    </row>
    <row r="32" ht="15" customHeight="1" s="160">
      <c r="A32" s="263" t="inlineStr">
        <is>
          <t>Department</t>
        </is>
      </c>
      <c r="B32" s="182" t="inlineStr">
        <is>
          <t>Role</t>
        </is>
      </c>
      <c r="C32" s="183" t="n"/>
      <c r="D32" s="181" t="n"/>
      <c r="E32" s="181" t="n"/>
      <c r="F32" s="181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81" t="n"/>
      <c r="AC32" s="181" t="n"/>
    </row>
    <row r="33" ht="15" customHeight="1" s="160">
      <c r="A33" s="265">
        <f>A7</f>
        <v/>
      </c>
      <c r="B33" s="177">
        <f>B7</f>
        <v/>
      </c>
      <c r="C33" s="178" t="n"/>
      <c r="D33" s="176" t="n"/>
      <c r="E33" s="266">
        <f>($D$7/12)*1*E7*(1+$B$2)^0</f>
        <v/>
      </c>
      <c r="F33" s="266">
        <f>($D$7/12)*1*F7*(1+$B$2)^0</f>
        <v/>
      </c>
      <c r="G33" s="267">
        <f>($D$7/12)*1*G7*(1+$B$2)^0</f>
        <v/>
      </c>
      <c r="H33" s="266">
        <f>($D$7/12)*1*H7*(1+$B$2)^0</f>
        <v/>
      </c>
      <c r="I33" s="266">
        <f>($D$7/12)*1*I7*(1+$B$2)^0</f>
        <v/>
      </c>
      <c r="J33" s="266">
        <f>($D$7/12)*1*J7*(1+$B$2)^0</f>
        <v/>
      </c>
      <c r="K33" s="266">
        <f>($D$7/12)*1*K7*(1+$B$2)^0</f>
        <v/>
      </c>
      <c r="L33" s="266">
        <f>($D$7/12)*1*L7*(1+$B$2)^0</f>
        <v/>
      </c>
      <c r="M33" s="266">
        <f>($D$7/12)*1*M7*(1+$B$2)^0</f>
        <v/>
      </c>
      <c r="N33" s="266">
        <f>($D$7/12)*3*N7*(1+$B$2)^0</f>
        <v/>
      </c>
      <c r="O33" s="266">
        <f>($D$7/12)*3*O7*(1+$B$2)^1</f>
        <v/>
      </c>
      <c r="P33" s="266">
        <f>($D$7/12)*3*P7*(1+$B$2)^1</f>
        <v/>
      </c>
      <c r="Q33" s="266">
        <f>($D$7/12)*3*Q7*(1+$B$2)^1</f>
        <v/>
      </c>
      <c r="R33" s="266">
        <f>($D$7/12)*3*R7*(1+$B$2)^1</f>
        <v/>
      </c>
      <c r="S33" s="266">
        <f>($D$7/12)*3*S7*(1+$B$2)^2</f>
        <v/>
      </c>
      <c r="T33" s="266">
        <f>($D$7/12)*3*T7*(1+$B$2)^2</f>
        <v/>
      </c>
      <c r="U33" s="266">
        <f>($D$7/12)*3*U7*(1+$B$2)^2</f>
        <v/>
      </c>
      <c r="V33" s="266">
        <f>($D$7/12)*3*V7*(1+$B$2)^2</f>
        <v/>
      </c>
      <c r="W33" s="266">
        <f>($D$7/12)*3*W7*(1+$B$2)^3</f>
        <v/>
      </c>
      <c r="X33" s="266">
        <f>($D$7/12)*3*X7*(1+$B$2)^3</f>
        <v/>
      </c>
      <c r="Y33" s="266">
        <f>($D$7/12)*3*Y7*(1+$B$2)^3</f>
        <v/>
      </c>
      <c r="Z33" s="266">
        <f>($D$7/12)*3*Z7*(1+$B$2)^3</f>
        <v/>
      </c>
      <c r="AA33" s="266">
        <f>($D$7/12)*3*AA7*(1+$B$2)^4</f>
        <v/>
      </c>
      <c r="AB33" s="266">
        <f>($D$7/12)*3*AB7*(1+$B$2)^4</f>
        <v/>
      </c>
      <c r="AC33" s="266">
        <f>($D$7/12)*3*AC7*(1+$B$2)^4</f>
        <v/>
      </c>
    </row>
    <row r="34" ht="15" customHeight="1" s="160">
      <c r="A34" s="268">
        <f>A8</f>
        <v/>
      </c>
      <c r="B34" s="182">
        <f>B8</f>
        <v/>
      </c>
      <c r="C34" s="183" t="n"/>
      <c r="D34" s="181" t="n"/>
      <c r="E34" s="269">
        <f>($D$8/12)*1*E8*(1+$B$2)^0</f>
        <v/>
      </c>
      <c r="F34" s="269">
        <f>($D$8/12)*1*F8*(1+$B$2)^0</f>
        <v/>
      </c>
      <c r="G34" s="270">
        <f>($D$8/12)*1*G8*(1+$B$2)^0</f>
        <v/>
      </c>
      <c r="H34" s="269">
        <f>($D$8/12)*1*H8*(1+$B$2)^0</f>
        <v/>
      </c>
      <c r="I34" s="269">
        <f>($D$8/12)*1*I8*(1+$B$2)^0</f>
        <v/>
      </c>
      <c r="J34" s="269">
        <f>($D$8/12)*1*J8*(1+$B$2)^0</f>
        <v/>
      </c>
      <c r="K34" s="269">
        <f>($D$8/12)*1*K8*(1+$B$2)^0</f>
        <v/>
      </c>
      <c r="L34" s="269">
        <f>($D$8/12)*1*L8*(1+$B$2)^0</f>
        <v/>
      </c>
      <c r="M34" s="269">
        <f>($D$8/12)*1*M8*(1+$B$2)^0</f>
        <v/>
      </c>
      <c r="N34" s="269">
        <f>($D$8/12)*3*N8*(1+$B$2)^0</f>
        <v/>
      </c>
      <c r="O34" s="269">
        <f>($D$8/12)*3*O8*(1+$B$2)^1</f>
        <v/>
      </c>
      <c r="P34" s="269">
        <f>($D$8/12)*3*P8*(1+$B$2)^1</f>
        <v/>
      </c>
      <c r="Q34" s="269">
        <f>($D$8/12)*3*Q8*(1+$B$2)^1</f>
        <v/>
      </c>
      <c r="R34" s="269">
        <f>($D$8/12)*3*R8*(1+$B$2)^1</f>
        <v/>
      </c>
      <c r="S34" s="269">
        <f>($D$8/12)*3*S8*(1+$B$2)^2</f>
        <v/>
      </c>
      <c r="T34" s="269">
        <f>($D$8/12)*3*T8*(1+$B$2)^2</f>
        <v/>
      </c>
      <c r="U34" s="269">
        <f>($D$8/12)*3*U8*(1+$B$2)^2</f>
        <v/>
      </c>
      <c r="V34" s="269">
        <f>($D$8/12)*3*V8*(1+$B$2)^2</f>
        <v/>
      </c>
      <c r="W34" s="269">
        <f>($D$8/12)*3*W8*(1+$B$2)^3</f>
        <v/>
      </c>
      <c r="X34" s="269">
        <f>($D$8/12)*3*X8*(1+$B$2)^3</f>
        <v/>
      </c>
      <c r="Y34" s="269">
        <f>($D$8/12)*3*Y8*(1+$B$2)^3</f>
        <v/>
      </c>
      <c r="Z34" s="269">
        <f>($D$8/12)*3*Z8*(1+$B$2)^3</f>
        <v/>
      </c>
      <c r="AA34" s="269">
        <f>($D$8/12)*3*AA8*(1+$B$2)^4</f>
        <v/>
      </c>
      <c r="AB34" s="269">
        <f>($D$8/12)*3*AB8*(1+$B$2)^4</f>
        <v/>
      </c>
      <c r="AC34" s="269">
        <f>($D$8/12)*3*AC8*(1+$B$2)^4</f>
        <v/>
      </c>
    </row>
    <row r="35" ht="15" customHeight="1" s="160">
      <c r="A35" s="265">
        <f>A9</f>
        <v/>
      </c>
      <c r="B35" s="177">
        <f>B9</f>
        <v/>
      </c>
      <c r="C35" s="178" t="n"/>
      <c r="D35" s="176" t="n"/>
      <c r="E35" s="266">
        <f>($D$9/12)*1*E9*(1+$B$2)^0</f>
        <v/>
      </c>
      <c r="F35" s="266">
        <f>($D$9/12)*1*F9*(1+$B$2)^0</f>
        <v/>
      </c>
      <c r="G35" s="267">
        <f>($D$9/12)*1*G9*(1+$B$2)^0</f>
        <v/>
      </c>
      <c r="H35" s="266">
        <f>($D$9/12)*1*H9*(1+$B$2)^0</f>
        <v/>
      </c>
      <c r="I35" s="266">
        <f>($D$9/12)*1*I9*(1+$B$2)^0</f>
        <v/>
      </c>
      <c r="J35" s="266">
        <f>($D$9/12)*1*J9*(1+$B$2)^0</f>
        <v/>
      </c>
      <c r="K35" s="266">
        <f>($D$9/12)*1*K9*(1+$B$2)^0</f>
        <v/>
      </c>
      <c r="L35" s="266">
        <f>($D$9/12)*1*L9*(1+$B$2)^0</f>
        <v/>
      </c>
      <c r="M35" s="266">
        <f>($D$9/12)*1*M9*(1+$B$2)^0</f>
        <v/>
      </c>
      <c r="N35" s="266">
        <f>($D$9/12)*3*N9*(1+$B$2)^0</f>
        <v/>
      </c>
      <c r="O35" s="266">
        <f>($D$9/12)*3*O9*(1+$B$2)^1</f>
        <v/>
      </c>
      <c r="P35" s="266">
        <f>($D$9/12)*3*P9*(1+$B$2)^1</f>
        <v/>
      </c>
      <c r="Q35" s="266">
        <f>($D$9/12)*3*Q9*(1+$B$2)^1</f>
        <v/>
      </c>
      <c r="R35" s="266">
        <f>($D$9/12)*3*R9*(1+$B$2)^1</f>
        <v/>
      </c>
      <c r="S35" s="266">
        <f>($D$9/12)*3*S9*(1+$B$2)^2</f>
        <v/>
      </c>
      <c r="T35" s="266">
        <f>($D$9/12)*3*T9*(1+$B$2)^2</f>
        <v/>
      </c>
      <c r="U35" s="266">
        <f>($D$9/12)*3*U9*(1+$B$2)^2</f>
        <v/>
      </c>
      <c r="V35" s="266">
        <f>($D$9/12)*3*V9*(1+$B$2)^2</f>
        <v/>
      </c>
      <c r="W35" s="266">
        <f>($D$9/12)*3*W9*(1+$B$2)^3</f>
        <v/>
      </c>
      <c r="X35" s="266">
        <f>($D$9/12)*3*X9*(1+$B$2)^3</f>
        <v/>
      </c>
      <c r="Y35" s="266">
        <f>($D$9/12)*3*Y9*(1+$B$2)^3</f>
        <v/>
      </c>
      <c r="Z35" s="266">
        <f>($D$9/12)*3*Z9*(1+$B$2)^3</f>
        <v/>
      </c>
      <c r="AA35" s="266">
        <f>($D$9/12)*3*AA9*(1+$B$2)^4</f>
        <v/>
      </c>
      <c r="AB35" s="266">
        <f>($D$9/12)*3*AB9*(1+$B$2)^4</f>
        <v/>
      </c>
      <c r="AC35" s="266">
        <f>($D$9/12)*3*AC9*(1+$B$2)^4</f>
        <v/>
      </c>
    </row>
    <row r="36" ht="15" customHeight="1" s="160">
      <c r="A36" s="268">
        <f>A10</f>
        <v/>
      </c>
      <c r="B36" s="182">
        <f>B10</f>
        <v/>
      </c>
      <c r="C36" s="183" t="n"/>
      <c r="D36" s="181" t="n"/>
      <c r="E36" s="269">
        <f>($D$10/12)*1*E10*(1+$B$2)^0</f>
        <v/>
      </c>
      <c r="F36" s="269">
        <f>($D$10/12)*1*F10*(1+$B$2)^0</f>
        <v/>
      </c>
      <c r="G36" s="270">
        <f>($D$10/12)*1*G10*(1+$B$2)^0</f>
        <v/>
      </c>
      <c r="H36" s="269">
        <f>($D$10/12)*1*H10*(1+$B$2)^0</f>
        <v/>
      </c>
      <c r="I36" s="269">
        <f>($D$10/12)*1*I10*(1+$B$2)^0</f>
        <v/>
      </c>
      <c r="J36" s="269">
        <f>($D$10/12)*1*J10*(1+$B$2)^0</f>
        <v/>
      </c>
      <c r="K36" s="269">
        <f>($D$10/12)*1*K10*(1+$B$2)^0</f>
        <v/>
      </c>
      <c r="L36" s="269">
        <f>($D$10/12)*1*L10*(1+$B$2)^0</f>
        <v/>
      </c>
      <c r="M36" s="269">
        <f>($D$10/12)*1*M10*(1+$B$2)^0</f>
        <v/>
      </c>
      <c r="N36" s="269">
        <f>($D$10/12)*3*N10*(1+$B$2)^0</f>
        <v/>
      </c>
      <c r="O36" s="269">
        <f>($D$10/12)*3*O10*(1+$B$2)^1</f>
        <v/>
      </c>
      <c r="P36" s="269">
        <f>($D$10/12)*3*P10*(1+$B$2)^1</f>
        <v/>
      </c>
      <c r="Q36" s="269">
        <f>($D$10/12)*3*Q10*(1+$B$2)^1</f>
        <v/>
      </c>
      <c r="R36" s="269">
        <f>($D$10/12)*3*R10*(1+$B$2)^1</f>
        <v/>
      </c>
      <c r="S36" s="269">
        <f>($D$10/12)*3*S10*(1+$B$2)^2</f>
        <v/>
      </c>
      <c r="T36" s="269">
        <f>($D$10/12)*3*T10*(1+$B$2)^2</f>
        <v/>
      </c>
      <c r="U36" s="269">
        <f>($D$10/12)*3*U10*(1+$B$2)^2</f>
        <v/>
      </c>
      <c r="V36" s="269">
        <f>($D$10/12)*3*V10*(1+$B$2)^2</f>
        <v/>
      </c>
      <c r="W36" s="269">
        <f>($D$10/12)*3*W10*(1+$B$2)^3</f>
        <v/>
      </c>
      <c r="X36" s="269">
        <f>($D$10/12)*3*X10*(1+$B$2)^3</f>
        <v/>
      </c>
      <c r="Y36" s="269">
        <f>($D$10/12)*3*Y10*(1+$B$2)^3</f>
        <v/>
      </c>
      <c r="Z36" s="269">
        <f>($D$10/12)*3*Z10*(1+$B$2)^3</f>
        <v/>
      </c>
      <c r="AA36" s="269">
        <f>($D$10/12)*3*AA10*(1+$B$2)^4</f>
        <v/>
      </c>
      <c r="AB36" s="269">
        <f>($D$10/12)*3*AB10*(1+$B$2)^4</f>
        <v/>
      </c>
      <c r="AC36" s="269">
        <f>($D$10/12)*3*AC10*(1+$B$2)^4</f>
        <v/>
      </c>
    </row>
    <row r="37" ht="15" customHeight="1" s="160">
      <c r="A37" s="265">
        <f>A11</f>
        <v/>
      </c>
      <c r="B37" s="177">
        <f>B11</f>
        <v/>
      </c>
      <c r="C37" s="178" t="n"/>
      <c r="D37" s="176" t="n"/>
      <c r="E37" s="266">
        <f>($D$11/12)*1*E11*(1+$B$2)^0</f>
        <v/>
      </c>
      <c r="F37" s="266">
        <f>($D$11/12)*1*F11*(1+$B$2)^0</f>
        <v/>
      </c>
      <c r="G37" s="267">
        <f>($D$11/12)*1*G11*(1+$B$2)^0</f>
        <v/>
      </c>
      <c r="H37" s="266">
        <f>($D$11/12)*1*H11*(1+$B$2)^0</f>
        <v/>
      </c>
      <c r="I37" s="266">
        <f>($D$11/12)*1*I11*(1+$B$2)^0</f>
        <v/>
      </c>
      <c r="J37" s="266">
        <f>($D$11/12)*1*J11*(1+$B$2)^0</f>
        <v/>
      </c>
      <c r="K37" s="266">
        <f>($D$11/12)*1*K11*(1+$B$2)^0</f>
        <v/>
      </c>
      <c r="L37" s="266">
        <f>($D$11/12)*1*L11*(1+$B$2)^0</f>
        <v/>
      </c>
      <c r="M37" s="266">
        <f>($D$11/12)*1*M11*(1+$B$2)^0</f>
        <v/>
      </c>
      <c r="N37" s="266">
        <f>($D$11/12)*3*N11*(1+$B$2)^0</f>
        <v/>
      </c>
      <c r="O37" s="266">
        <f>($D$11/12)*3*O11*(1+$B$2)^1</f>
        <v/>
      </c>
      <c r="P37" s="266">
        <f>($D$11/12)*3*P11*(1+$B$2)^1</f>
        <v/>
      </c>
      <c r="Q37" s="266">
        <f>($D$11/12)*3*Q11*(1+$B$2)^1</f>
        <v/>
      </c>
      <c r="R37" s="266">
        <f>($D$11/12)*3*R11*(1+$B$2)^1</f>
        <v/>
      </c>
      <c r="S37" s="266">
        <f>($D$11/12)*3*S11*(1+$B$2)^2</f>
        <v/>
      </c>
      <c r="T37" s="266">
        <f>($D$11/12)*3*T11*(1+$B$2)^2</f>
        <v/>
      </c>
      <c r="U37" s="266">
        <f>($D$11/12)*3*U11*(1+$B$2)^2</f>
        <v/>
      </c>
      <c r="V37" s="266">
        <f>($D$11/12)*3*V11*(1+$B$2)^2</f>
        <v/>
      </c>
      <c r="W37" s="266">
        <f>($D$11/12)*3*W11*(1+$B$2)^3</f>
        <v/>
      </c>
      <c r="X37" s="266">
        <f>($D$11/12)*3*X11*(1+$B$2)^3</f>
        <v/>
      </c>
      <c r="Y37" s="266">
        <f>($D$11/12)*3*Y11*(1+$B$2)^3</f>
        <v/>
      </c>
      <c r="Z37" s="266">
        <f>($D$11/12)*3*Z11*(1+$B$2)^3</f>
        <v/>
      </c>
      <c r="AA37" s="266">
        <f>($D$11/12)*3*AA11*(1+$B$2)^4</f>
        <v/>
      </c>
      <c r="AB37" s="266">
        <f>($D$11/12)*3*AB11*(1+$B$2)^4</f>
        <v/>
      </c>
      <c r="AC37" s="266">
        <f>($D$11/12)*3*AC11*(1+$B$2)^4</f>
        <v/>
      </c>
    </row>
    <row r="38" ht="15" customHeight="1" s="160">
      <c r="A38" s="268">
        <f>A12</f>
        <v/>
      </c>
      <c r="B38" s="182">
        <f>B12</f>
        <v/>
      </c>
      <c r="C38" s="183" t="n"/>
      <c r="D38" s="181" t="n"/>
      <c r="E38" s="269">
        <f>($D$12/12)*1*E12*(1+$B$2)^0</f>
        <v/>
      </c>
      <c r="F38" s="269">
        <f>($D$12/12)*1*F12*(1+$B$2)^0</f>
        <v/>
      </c>
      <c r="G38" s="270">
        <f>($D$12/12)*1*G12*(1+$B$2)^0</f>
        <v/>
      </c>
      <c r="H38" s="269">
        <f>($D$12/12)*1*H12*(1+$B$2)^0</f>
        <v/>
      </c>
      <c r="I38" s="269">
        <f>($D$12/12)*1*I12*(1+$B$2)^0</f>
        <v/>
      </c>
      <c r="J38" s="269">
        <f>($D$12/12)*1*J12*(1+$B$2)^0</f>
        <v/>
      </c>
      <c r="K38" s="269">
        <f>($D$12/12)*1*K12*(1+$B$2)^0</f>
        <v/>
      </c>
      <c r="L38" s="269">
        <f>($D$12/12)*1*L12*(1+$B$2)^0</f>
        <v/>
      </c>
      <c r="M38" s="269">
        <f>($D$12/12)*1*M12*(1+$B$2)^0</f>
        <v/>
      </c>
      <c r="N38" s="269">
        <f>($D$12/12)*3*N12*(1+$B$2)^0</f>
        <v/>
      </c>
      <c r="O38" s="269">
        <f>($D$12/12)*3*O12*(1+$B$2)^1</f>
        <v/>
      </c>
      <c r="P38" s="269">
        <f>($D$12/12)*3*P12*(1+$B$2)^1</f>
        <v/>
      </c>
      <c r="Q38" s="269">
        <f>($D$12/12)*3*Q12*(1+$B$2)^1</f>
        <v/>
      </c>
      <c r="R38" s="269">
        <f>($D$12/12)*3*R12*(1+$B$2)^1</f>
        <v/>
      </c>
      <c r="S38" s="269">
        <f>($D$12/12)*3*S12*(1+$B$2)^2</f>
        <v/>
      </c>
      <c r="T38" s="269">
        <f>($D$12/12)*3*T12*(1+$B$2)^2</f>
        <v/>
      </c>
      <c r="U38" s="269">
        <f>($D$12/12)*3*U12*(1+$B$2)^2</f>
        <v/>
      </c>
      <c r="V38" s="269">
        <f>($D$12/12)*3*V12*(1+$B$2)^2</f>
        <v/>
      </c>
      <c r="W38" s="269">
        <f>($D$12/12)*3*W12*(1+$B$2)^3</f>
        <v/>
      </c>
      <c r="X38" s="269">
        <f>($D$12/12)*3*X12*(1+$B$2)^3</f>
        <v/>
      </c>
      <c r="Y38" s="269">
        <f>($D$12/12)*3*Y12*(1+$B$2)^3</f>
        <v/>
      </c>
      <c r="Z38" s="269">
        <f>($D$12/12)*3*Z12*(1+$B$2)^3</f>
        <v/>
      </c>
      <c r="AA38" s="269">
        <f>($D$12/12)*3*AA12*(1+$B$2)^4</f>
        <v/>
      </c>
      <c r="AB38" s="269">
        <f>($D$12/12)*3*AB12*(1+$B$2)^4</f>
        <v/>
      </c>
      <c r="AC38" s="269">
        <f>($D$12/12)*3*AC12*(1+$B$2)^4</f>
        <v/>
      </c>
    </row>
    <row r="39" ht="15" customHeight="1" s="160">
      <c r="A39" s="265">
        <f>A13</f>
        <v/>
      </c>
      <c r="B39" s="177">
        <f>B13</f>
        <v/>
      </c>
      <c r="C39" s="178" t="n"/>
      <c r="D39" s="176" t="n"/>
      <c r="E39" s="266">
        <f>($D$13/12)*1*E13*(1+$B$2)^0</f>
        <v/>
      </c>
      <c r="F39" s="266">
        <f>($D$13/12)*1*F13*(1+$B$2)^0</f>
        <v/>
      </c>
      <c r="G39" s="267">
        <f>($D$13/12)*1*G13*(1+$B$2)^0</f>
        <v/>
      </c>
      <c r="H39" s="266">
        <f>($D$13/12)*1*H13*(1+$B$2)^0</f>
        <v/>
      </c>
      <c r="I39" s="266">
        <f>($D$13/12)*1*I13*(1+$B$2)^0</f>
        <v/>
      </c>
      <c r="J39" s="266">
        <f>($D$13/12)*1*J13*(1+$B$2)^0</f>
        <v/>
      </c>
      <c r="K39" s="266">
        <f>($D$13/12)*1*K13*(1+$B$2)^0</f>
        <v/>
      </c>
      <c r="L39" s="266">
        <f>($D$13/12)*1*L13*(1+$B$2)^0</f>
        <v/>
      </c>
      <c r="M39" s="266">
        <f>($D$13/12)*1*M13*(1+$B$2)^0</f>
        <v/>
      </c>
      <c r="N39" s="266">
        <f>($D$13/12)*3*N13*(1+$B$2)^0</f>
        <v/>
      </c>
      <c r="O39" s="266">
        <f>($D$13/12)*3*O13*(1+$B$2)^1</f>
        <v/>
      </c>
      <c r="P39" s="266">
        <f>($D$13/12)*3*P13*(1+$B$2)^1</f>
        <v/>
      </c>
      <c r="Q39" s="266">
        <f>($D$13/12)*3*Q13*(1+$B$2)^1</f>
        <v/>
      </c>
      <c r="R39" s="266">
        <f>($D$13/12)*3*R13*(1+$B$2)^1</f>
        <v/>
      </c>
      <c r="S39" s="266">
        <f>($D$13/12)*3*S13*(1+$B$2)^2</f>
        <v/>
      </c>
      <c r="T39" s="266">
        <f>($D$13/12)*3*T13*(1+$B$2)^2</f>
        <v/>
      </c>
      <c r="U39" s="266">
        <f>($D$13/12)*3*U13*(1+$B$2)^2</f>
        <v/>
      </c>
      <c r="V39" s="266">
        <f>($D$13/12)*3*V13*(1+$B$2)^2</f>
        <v/>
      </c>
      <c r="W39" s="266">
        <f>($D$13/12)*3*W13*(1+$B$2)^3</f>
        <v/>
      </c>
      <c r="X39" s="266">
        <f>($D$13/12)*3*X13*(1+$B$2)^3</f>
        <v/>
      </c>
      <c r="Y39" s="266">
        <f>($D$13/12)*3*Y13*(1+$B$2)^3</f>
        <v/>
      </c>
      <c r="Z39" s="266">
        <f>($D$13/12)*3*Z13*(1+$B$2)^3</f>
        <v/>
      </c>
      <c r="AA39" s="266">
        <f>($D$13/12)*3*AA13*(1+$B$2)^4</f>
        <v/>
      </c>
      <c r="AB39" s="266">
        <f>($D$13/12)*3*AB13*(1+$B$2)^4</f>
        <v/>
      </c>
      <c r="AC39" s="266">
        <f>($D$13/12)*3*AC13*(1+$B$2)^4</f>
        <v/>
      </c>
    </row>
    <row r="40" ht="15" customHeight="1" s="160">
      <c r="A40" s="268">
        <f>A14</f>
        <v/>
      </c>
      <c r="B40" s="182">
        <f>B14</f>
        <v/>
      </c>
      <c r="C40" s="183" t="n"/>
      <c r="D40" s="181" t="n"/>
      <c r="E40" s="269">
        <f>($D$14/12)*1*E14*(1+$B$2)^0</f>
        <v/>
      </c>
      <c r="F40" s="269">
        <f>($D$14/12)*1*F14*(1+$B$2)^0</f>
        <v/>
      </c>
      <c r="G40" s="270">
        <f>($D$14/12)*1*G14*(1+$B$2)^0</f>
        <v/>
      </c>
      <c r="H40" s="269">
        <f>($D$14/12)*1*H14*(1+$B$2)^0</f>
        <v/>
      </c>
      <c r="I40" s="269">
        <f>($D$14/12)*1*I14*(1+$B$2)^0</f>
        <v/>
      </c>
      <c r="J40" s="269">
        <f>($D$14/12)*1*J14*(1+$B$2)^0</f>
        <v/>
      </c>
      <c r="K40" s="269">
        <f>($D$14/12)*1*K14*(1+$B$2)^0</f>
        <v/>
      </c>
      <c r="L40" s="269">
        <f>($D$14/12)*1*L14*(1+$B$2)^0</f>
        <v/>
      </c>
      <c r="M40" s="269">
        <f>($D$14/12)*1*M14*(1+$B$2)^0</f>
        <v/>
      </c>
      <c r="N40" s="269">
        <f>($D$14/12)*3*N14*(1+$B$2)^0</f>
        <v/>
      </c>
      <c r="O40" s="269">
        <f>($D$14/12)*3*O14*(1+$B$2)^1</f>
        <v/>
      </c>
      <c r="P40" s="269">
        <f>($D$14/12)*3*P14*(1+$B$2)^1</f>
        <v/>
      </c>
      <c r="Q40" s="269">
        <f>($D$14/12)*3*Q14*(1+$B$2)^1</f>
        <v/>
      </c>
      <c r="R40" s="269">
        <f>($D$14/12)*3*R14*(1+$B$2)^1</f>
        <v/>
      </c>
      <c r="S40" s="269">
        <f>($D$14/12)*3*S14*(1+$B$2)^2</f>
        <v/>
      </c>
      <c r="T40" s="269">
        <f>($D$14/12)*3*T14*(1+$B$2)^2</f>
        <v/>
      </c>
      <c r="U40" s="269">
        <f>($D$14/12)*3*U14*(1+$B$2)^2</f>
        <v/>
      </c>
      <c r="V40" s="269">
        <f>($D$14/12)*3*V14*(1+$B$2)^2</f>
        <v/>
      </c>
      <c r="W40" s="269">
        <f>($D$14/12)*3*W14*(1+$B$2)^3</f>
        <v/>
      </c>
      <c r="X40" s="269">
        <f>($D$14/12)*3*X14*(1+$B$2)^3</f>
        <v/>
      </c>
      <c r="Y40" s="269">
        <f>($D$14/12)*3*Y14*(1+$B$2)^3</f>
        <v/>
      </c>
      <c r="Z40" s="269">
        <f>($D$14/12)*3*Z14*(1+$B$2)^3</f>
        <v/>
      </c>
      <c r="AA40" s="269">
        <f>($D$14/12)*3*AA14*(1+$B$2)^4</f>
        <v/>
      </c>
      <c r="AB40" s="269">
        <f>($D$14/12)*3*AB14*(1+$B$2)^4</f>
        <v/>
      </c>
      <c r="AC40" s="269">
        <f>($D$14/12)*3*AC14*(1+$B$2)^4</f>
        <v/>
      </c>
    </row>
    <row r="41" ht="15" customHeight="1" s="160">
      <c r="A41" s="265">
        <f>A15</f>
        <v/>
      </c>
      <c r="B41" s="177">
        <f>B15</f>
        <v/>
      </c>
      <c r="C41" s="178" t="n"/>
      <c r="D41" s="176" t="n"/>
      <c r="E41" s="266">
        <f>($D$15/12)*1*E15*(1+$B$2)^0</f>
        <v/>
      </c>
      <c r="F41" s="266">
        <f>($D$15/12)*1*F15*(1+$B$2)^0</f>
        <v/>
      </c>
      <c r="G41" s="267">
        <f>($D$15/12)*1*G15*(1+$B$2)^0</f>
        <v/>
      </c>
      <c r="H41" s="266">
        <f>($D$15/12)*1*H15*(1+$B$2)^0</f>
        <v/>
      </c>
      <c r="I41" s="266">
        <f>($D$15/12)*1*I15*(1+$B$2)^0</f>
        <v/>
      </c>
      <c r="J41" s="266">
        <f>($D$15/12)*1*J15*(1+$B$2)^0</f>
        <v/>
      </c>
      <c r="K41" s="266">
        <f>($D$15/12)*1*K15*(1+$B$2)^0</f>
        <v/>
      </c>
      <c r="L41" s="266">
        <f>($D$15/12)*1*L15*(1+$B$2)^0</f>
        <v/>
      </c>
      <c r="M41" s="266">
        <f>($D$15/12)*1*M15*(1+$B$2)^0</f>
        <v/>
      </c>
      <c r="N41" s="266">
        <f>($D$15/12)*3*N15*(1+$B$2)^0</f>
        <v/>
      </c>
      <c r="O41" s="266">
        <f>($D$15/12)*3*O15*(1+$B$2)^1</f>
        <v/>
      </c>
      <c r="P41" s="266">
        <f>($D$15/12)*3*P15*(1+$B$2)^1</f>
        <v/>
      </c>
      <c r="Q41" s="266">
        <f>($D$15/12)*3*Q15*(1+$B$2)^1</f>
        <v/>
      </c>
      <c r="R41" s="266">
        <f>($D$15/12)*3*R15*(1+$B$2)^1</f>
        <v/>
      </c>
      <c r="S41" s="266">
        <f>($D$15/12)*3*S15*(1+$B$2)^2</f>
        <v/>
      </c>
      <c r="T41" s="266">
        <f>($D$15/12)*3*T15*(1+$B$2)^2</f>
        <v/>
      </c>
      <c r="U41" s="266">
        <f>($D$15/12)*3*U15*(1+$B$2)^2</f>
        <v/>
      </c>
      <c r="V41" s="266">
        <f>($D$15/12)*3*V15*(1+$B$2)^2</f>
        <v/>
      </c>
      <c r="W41" s="266">
        <f>($D$15/12)*3*W15*(1+$B$2)^3</f>
        <v/>
      </c>
      <c r="X41" s="266">
        <f>($D$15/12)*3*X15*(1+$B$2)^3</f>
        <v/>
      </c>
      <c r="Y41" s="266">
        <f>($D$15/12)*3*Y15*(1+$B$2)^3</f>
        <v/>
      </c>
      <c r="Z41" s="266">
        <f>($D$15/12)*3*Z15*(1+$B$2)^3</f>
        <v/>
      </c>
      <c r="AA41" s="266">
        <f>($D$15/12)*3*AA15*(1+$B$2)^4</f>
        <v/>
      </c>
      <c r="AB41" s="266">
        <f>($D$15/12)*3*AB15*(1+$B$2)^4</f>
        <v/>
      </c>
      <c r="AC41" s="266">
        <f>($D$15/12)*3*AC15*(1+$B$2)^4</f>
        <v/>
      </c>
    </row>
    <row r="42" ht="15" customHeight="1" s="160">
      <c r="A42" s="268">
        <f>A16</f>
        <v/>
      </c>
      <c r="B42" s="182">
        <f>B16</f>
        <v/>
      </c>
      <c r="C42" s="183" t="n"/>
      <c r="D42" s="181" t="n"/>
      <c r="E42" s="269">
        <f>($D$16/12)*1*E16*(1+$B$2)^0</f>
        <v/>
      </c>
      <c r="F42" s="269">
        <f>($D$16/12)*1*F16*(1+$B$2)^0</f>
        <v/>
      </c>
      <c r="G42" s="270">
        <f>($D$16/12)*1*G16*(1+$B$2)^0</f>
        <v/>
      </c>
      <c r="H42" s="269">
        <f>($D$16/12)*1*H16*(1+$B$2)^0</f>
        <v/>
      </c>
      <c r="I42" s="269">
        <f>($D$16/12)*1*I16*(1+$B$2)^0</f>
        <v/>
      </c>
      <c r="J42" s="269">
        <f>($D$16/12)*1*J16*(1+$B$2)^0</f>
        <v/>
      </c>
      <c r="K42" s="269">
        <f>($D$16/12)*1*K16*(1+$B$2)^0</f>
        <v/>
      </c>
      <c r="L42" s="269">
        <f>($D$16/12)*1*L16*(1+$B$2)^0</f>
        <v/>
      </c>
      <c r="M42" s="269">
        <f>($D$16/12)*1*M16*(1+$B$2)^0</f>
        <v/>
      </c>
      <c r="N42" s="269">
        <f>($D$16/12)*3*N16*(1+$B$2)^0</f>
        <v/>
      </c>
      <c r="O42" s="269">
        <f>($D$16/12)*3*O16*(1+$B$2)^1</f>
        <v/>
      </c>
      <c r="P42" s="269">
        <f>($D$16/12)*3*P16*(1+$B$2)^1</f>
        <v/>
      </c>
      <c r="Q42" s="269">
        <f>($D$16/12)*3*Q16*(1+$B$2)^1</f>
        <v/>
      </c>
      <c r="R42" s="269">
        <f>($D$16/12)*3*R16*(1+$B$2)^1</f>
        <v/>
      </c>
      <c r="S42" s="269">
        <f>($D$16/12)*3*S16*(1+$B$2)^2</f>
        <v/>
      </c>
      <c r="T42" s="269">
        <f>($D$16/12)*3*T16*(1+$B$2)^2</f>
        <v/>
      </c>
      <c r="U42" s="269">
        <f>($D$16/12)*3*U16*(1+$B$2)^2</f>
        <v/>
      </c>
      <c r="V42" s="269">
        <f>($D$16/12)*3*V16*(1+$B$2)^2</f>
        <v/>
      </c>
      <c r="W42" s="269">
        <f>($D$16/12)*3*W16*(1+$B$2)^3</f>
        <v/>
      </c>
      <c r="X42" s="269">
        <f>($D$16/12)*3*X16*(1+$B$2)^3</f>
        <v/>
      </c>
      <c r="Y42" s="269">
        <f>($D$16/12)*3*Y16*(1+$B$2)^3</f>
        <v/>
      </c>
      <c r="Z42" s="269">
        <f>($D$16/12)*3*Z16*(1+$B$2)^3</f>
        <v/>
      </c>
      <c r="AA42" s="269">
        <f>($D$16/12)*3*AA16*(1+$B$2)^4</f>
        <v/>
      </c>
      <c r="AB42" s="269">
        <f>($D$16/12)*3*AB16*(1+$B$2)^4</f>
        <v/>
      </c>
      <c r="AC42" s="269">
        <f>($D$16/12)*3*AC16*(1+$B$2)^4</f>
        <v/>
      </c>
    </row>
    <row r="43" ht="15" customHeight="1" s="160">
      <c r="A43" s="265">
        <f>A17</f>
        <v/>
      </c>
      <c r="B43" s="177">
        <f>B17</f>
        <v/>
      </c>
      <c r="C43" s="178" t="n"/>
      <c r="D43" s="176" t="n"/>
      <c r="E43" s="266">
        <f>($D$17/12)*1*E17*(1+$B$2)^0</f>
        <v/>
      </c>
      <c r="F43" s="266">
        <f>($D$17/12)*1*F17*(1+$B$2)^0</f>
        <v/>
      </c>
      <c r="G43" s="267">
        <f>($D$17/12)*1*G17*(1+$B$2)^0</f>
        <v/>
      </c>
      <c r="H43" s="266">
        <f>($D$17/12)*1*H17*(1+$B$2)^0</f>
        <v/>
      </c>
      <c r="I43" s="266">
        <f>($D$17/12)*1*I17*(1+$B$2)^0</f>
        <v/>
      </c>
      <c r="J43" s="266">
        <f>($D$17/12)*1*J17*(1+$B$2)^0</f>
        <v/>
      </c>
      <c r="K43" s="266">
        <f>($D$17/12)*1*K17*(1+$B$2)^0</f>
        <v/>
      </c>
      <c r="L43" s="266">
        <f>($D$17/12)*1*L17*(1+$B$2)^0</f>
        <v/>
      </c>
      <c r="M43" s="266">
        <f>($D$17/12)*1*M17*(1+$B$2)^0</f>
        <v/>
      </c>
      <c r="N43" s="266">
        <f>($D$17/12)*3*N17*(1+$B$2)^0</f>
        <v/>
      </c>
      <c r="O43" s="266">
        <f>($D$17/12)*3*O17*(1+$B$2)^1</f>
        <v/>
      </c>
      <c r="P43" s="266">
        <f>($D$17/12)*3*P17*(1+$B$2)^1</f>
        <v/>
      </c>
      <c r="Q43" s="266">
        <f>($D$17/12)*3*Q17*(1+$B$2)^1</f>
        <v/>
      </c>
      <c r="R43" s="266">
        <f>($D$17/12)*3*R17*(1+$B$2)^1</f>
        <v/>
      </c>
      <c r="S43" s="266">
        <f>($D$17/12)*3*S17*(1+$B$2)^2</f>
        <v/>
      </c>
      <c r="T43" s="266">
        <f>($D$17/12)*3*T17*(1+$B$2)^2</f>
        <v/>
      </c>
      <c r="U43" s="266">
        <f>($D$17/12)*3*U17*(1+$B$2)^2</f>
        <v/>
      </c>
      <c r="V43" s="266">
        <f>($D$17/12)*3*V17*(1+$B$2)^2</f>
        <v/>
      </c>
      <c r="W43" s="266">
        <f>($D$17/12)*3*W17*(1+$B$2)^3</f>
        <v/>
      </c>
      <c r="X43" s="266">
        <f>($D$17/12)*3*X17*(1+$B$2)^3</f>
        <v/>
      </c>
      <c r="Y43" s="266">
        <f>($D$17/12)*3*Y17*(1+$B$2)^3</f>
        <v/>
      </c>
      <c r="Z43" s="266">
        <f>($D$17/12)*3*Z17*(1+$B$2)^3</f>
        <v/>
      </c>
      <c r="AA43" s="266">
        <f>($D$17/12)*3*AA17*(1+$B$2)^4</f>
        <v/>
      </c>
      <c r="AB43" s="266">
        <f>($D$17/12)*3*AB17*(1+$B$2)^4</f>
        <v/>
      </c>
      <c r="AC43" s="266">
        <f>($D$17/12)*3*AC17*(1+$B$2)^4</f>
        <v/>
      </c>
    </row>
    <row r="44" ht="15" customHeight="1" s="160">
      <c r="A44" s="268">
        <f>A18</f>
        <v/>
      </c>
      <c r="B44" s="182">
        <f>B18</f>
        <v/>
      </c>
      <c r="C44" s="183" t="n"/>
      <c r="D44" s="181" t="n"/>
      <c r="E44" s="269">
        <f>($D$18/12)*1*E18*(1+$B$2)^0</f>
        <v/>
      </c>
      <c r="F44" s="269">
        <f>($D$18/12)*1*F18*(1+$B$2)^0</f>
        <v/>
      </c>
      <c r="G44" s="270">
        <f>($D$18/12)*1*G18*(1+$B$2)^0</f>
        <v/>
      </c>
      <c r="H44" s="269">
        <f>($D$18/12)*1*H18*(1+$B$2)^0</f>
        <v/>
      </c>
      <c r="I44" s="269">
        <f>($D$18/12)*1*I18*(1+$B$2)^0</f>
        <v/>
      </c>
      <c r="J44" s="269">
        <f>($D$18/12)*1*J18*(1+$B$2)^0</f>
        <v/>
      </c>
      <c r="K44" s="269">
        <f>($D$18/12)*1*K18*(1+$B$2)^0</f>
        <v/>
      </c>
      <c r="L44" s="269">
        <f>($D$18/12)*1*L18*(1+$B$2)^0</f>
        <v/>
      </c>
      <c r="M44" s="269">
        <f>($D$18/12)*1*M18*(1+$B$2)^0</f>
        <v/>
      </c>
      <c r="N44" s="269">
        <f>($D$18/12)*3*N18*(1+$B$2)^0</f>
        <v/>
      </c>
      <c r="O44" s="269">
        <f>($D$18/12)*3*O18*(1+$B$2)^1</f>
        <v/>
      </c>
      <c r="P44" s="269">
        <f>($D$18/12)*3*P18*(1+$B$2)^1</f>
        <v/>
      </c>
      <c r="Q44" s="269">
        <f>($D$18/12)*3*Q18*(1+$B$2)^1</f>
        <v/>
      </c>
      <c r="R44" s="269">
        <f>($D$18/12)*3*R18*(1+$B$2)^1</f>
        <v/>
      </c>
      <c r="S44" s="269">
        <f>($D$18/12)*3*S18*(1+$B$2)^2</f>
        <v/>
      </c>
      <c r="T44" s="269">
        <f>($D$18/12)*3*T18*(1+$B$2)^2</f>
        <v/>
      </c>
      <c r="U44" s="269">
        <f>($D$18/12)*3*U18*(1+$B$2)^2</f>
        <v/>
      </c>
      <c r="V44" s="269">
        <f>($D$18/12)*3*V18*(1+$B$2)^2</f>
        <v/>
      </c>
      <c r="W44" s="269">
        <f>($D$18/12)*3*W18*(1+$B$2)^3</f>
        <v/>
      </c>
      <c r="X44" s="269">
        <f>($D$18/12)*3*X18*(1+$B$2)^3</f>
        <v/>
      </c>
      <c r="Y44" s="269">
        <f>($D$18/12)*3*Y18*(1+$B$2)^3</f>
        <v/>
      </c>
      <c r="Z44" s="269">
        <f>($D$18/12)*3*Z18*(1+$B$2)^3</f>
        <v/>
      </c>
      <c r="AA44" s="269">
        <f>($D$18/12)*3*AA18*(1+$B$2)^4</f>
        <v/>
      </c>
      <c r="AB44" s="269">
        <f>($D$18/12)*3*AB18*(1+$B$2)^4</f>
        <v/>
      </c>
      <c r="AC44" s="269">
        <f>($D$18/12)*3*AC18*(1+$B$2)^4</f>
        <v/>
      </c>
    </row>
    <row r="45" ht="15" customHeight="1" s="160">
      <c r="A45" s="265">
        <f>A19</f>
        <v/>
      </c>
      <c r="B45" s="177">
        <f>B19</f>
        <v/>
      </c>
      <c r="C45" s="178" t="n"/>
      <c r="D45" s="176" t="n"/>
      <c r="E45" s="266">
        <f>($D$19/12)*1*E19*(1+$B$2)^0</f>
        <v/>
      </c>
      <c r="F45" s="266">
        <f>($D$19/12)*1*F19*(1+$B$2)^0</f>
        <v/>
      </c>
      <c r="G45" s="267">
        <f>($D$19/12)*1*G19*(1+$B$2)^0</f>
        <v/>
      </c>
      <c r="H45" s="266">
        <f>($D$19/12)*1*H19*(1+$B$2)^0</f>
        <v/>
      </c>
      <c r="I45" s="266">
        <f>($D$19/12)*1*I19*(1+$B$2)^0</f>
        <v/>
      </c>
      <c r="J45" s="266">
        <f>($D$19/12)*1*J19*(1+$B$2)^0</f>
        <v/>
      </c>
      <c r="K45" s="266">
        <f>($D$19/12)*1*K19*(1+$B$2)^0</f>
        <v/>
      </c>
      <c r="L45" s="266">
        <f>($D$19/12)*1*L19*(1+$B$2)^0</f>
        <v/>
      </c>
      <c r="M45" s="266">
        <f>($D$19/12)*1*M19*(1+$B$2)^0</f>
        <v/>
      </c>
      <c r="N45" s="266">
        <f>($D$19/12)*3*N19*(1+$B$2)^0</f>
        <v/>
      </c>
      <c r="O45" s="266">
        <f>($D$19/12)*3*O19*(1+$B$2)^1</f>
        <v/>
      </c>
      <c r="P45" s="266">
        <f>($D$19/12)*3*P19*(1+$B$2)^1</f>
        <v/>
      </c>
      <c r="Q45" s="266">
        <f>($D$19/12)*3*Q19*(1+$B$2)^1</f>
        <v/>
      </c>
      <c r="R45" s="266">
        <f>($D$19/12)*3*R19*(1+$B$2)^1</f>
        <v/>
      </c>
      <c r="S45" s="266">
        <f>($D$19/12)*3*S19*(1+$B$2)^2</f>
        <v/>
      </c>
      <c r="T45" s="266">
        <f>($D$19/12)*3*T19*(1+$B$2)^2</f>
        <v/>
      </c>
      <c r="U45" s="266">
        <f>($D$19/12)*3*U19*(1+$B$2)^2</f>
        <v/>
      </c>
      <c r="V45" s="266">
        <f>($D$19/12)*3*V19*(1+$B$2)^2</f>
        <v/>
      </c>
      <c r="W45" s="266">
        <f>($D$19/12)*3*W19*(1+$B$2)^3</f>
        <v/>
      </c>
      <c r="X45" s="266">
        <f>($D$19/12)*3*X19*(1+$B$2)^3</f>
        <v/>
      </c>
      <c r="Y45" s="266">
        <f>($D$19/12)*3*Y19*(1+$B$2)^3</f>
        <v/>
      </c>
      <c r="Z45" s="266">
        <f>($D$19/12)*3*Z19*(1+$B$2)^3</f>
        <v/>
      </c>
      <c r="AA45" s="266">
        <f>($D$19/12)*3*AA19*(1+$B$2)^4</f>
        <v/>
      </c>
      <c r="AB45" s="266">
        <f>($D$19/12)*3*AB19*(1+$B$2)^4</f>
        <v/>
      </c>
      <c r="AC45" s="266">
        <f>($D$19/12)*3*AC19*(1+$B$2)^4</f>
        <v/>
      </c>
    </row>
    <row r="46" ht="15" customHeight="1" s="160">
      <c r="A46" s="268">
        <f>A20</f>
        <v/>
      </c>
      <c r="B46" s="182">
        <f>B20</f>
        <v/>
      </c>
      <c r="C46" s="183" t="n"/>
      <c r="D46" s="181" t="n"/>
      <c r="E46" s="269">
        <f>($D$20/12)*1*E20*(1+$B$2)^0</f>
        <v/>
      </c>
      <c r="F46" s="269">
        <f>($D$20/12)*1*F20*(1+$B$2)^0</f>
        <v/>
      </c>
      <c r="G46" s="270">
        <f>($D$20/12)*1*G20*(1+$B$2)^0</f>
        <v/>
      </c>
      <c r="H46" s="269">
        <f>($D$20/12)*1*H20*(1+$B$2)^0</f>
        <v/>
      </c>
      <c r="I46" s="269">
        <f>($D$20/12)*1*I20*(1+$B$2)^0</f>
        <v/>
      </c>
      <c r="J46" s="269">
        <f>($D$20/12)*1*J20*(1+$B$2)^0</f>
        <v/>
      </c>
      <c r="K46" s="269">
        <f>($D$20/12)*1*K20*(1+$B$2)^0</f>
        <v/>
      </c>
      <c r="L46" s="269">
        <f>($D$20/12)*1*L20*(1+$B$2)^0</f>
        <v/>
      </c>
      <c r="M46" s="269">
        <f>($D$20/12)*1*M20*(1+$B$2)^0</f>
        <v/>
      </c>
      <c r="N46" s="269">
        <f>($D$20/12)*3*N20*(1+$B$2)^0</f>
        <v/>
      </c>
      <c r="O46" s="269">
        <f>($D$20/12)*3*O20*(1+$B$2)^1</f>
        <v/>
      </c>
      <c r="P46" s="269">
        <f>($D$20/12)*3*P20*(1+$B$2)^1</f>
        <v/>
      </c>
      <c r="Q46" s="269">
        <f>($D$20/12)*3*Q20*(1+$B$2)^1</f>
        <v/>
      </c>
      <c r="R46" s="269">
        <f>($D$20/12)*3*R20*(1+$B$2)^1</f>
        <v/>
      </c>
      <c r="S46" s="269">
        <f>($D$20/12)*3*S20*(1+$B$2)^2</f>
        <v/>
      </c>
      <c r="T46" s="269">
        <f>($D$20/12)*3*T20*(1+$B$2)^2</f>
        <v/>
      </c>
      <c r="U46" s="269">
        <f>($D$20/12)*3*U20*(1+$B$2)^2</f>
        <v/>
      </c>
      <c r="V46" s="269">
        <f>($D$20/12)*3*V20*(1+$B$2)^2</f>
        <v/>
      </c>
      <c r="W46" s="269">
        <f>($D$20/12)*3*W20*(1+$B$2)^3</f>
        <v/>
      </c>
      <c r="X46" s="269">
        <f>($D$20/12)*3*X20*(1+$B$2)^3</f>
        <v/>
      </c>
      <c r="Y46" s="269">
        <f>($D$20/12)*3*Y20*(1+$B$2)^3</f>
        <v/>
      </c>
      <c r="Z46" s="269">
        <f>($D$20/12)*3*Z20*(1+$B$2)^3</f>
        <v/>
      </c>
      <c r="AA46" s="269">
        <f>($D$20/12)*3*AA20*(1+$B$2)^4</f>
        <v/>
      </c>
      <c r="AB46" s="269">
        <f>($D$20/12)*3*AB20*(1+$B$2)^4</f>
        <v/>
      </c>
      <c r="AC46" s="269">
        <f>($D$20/12)*3*AC20*(1+$B$2)^4</f>
        <v/>
      </c>
    </row>
    <row r="47" ht="15" customHeight="1" s="160">
      <c r="A47" s="265">
        <f>A21</f>
        <v/>
      </c>
      <c r="B47" s="177">
        <f>B21</f>
        <v/>
      </c>
      <c r="C47" s="178" t="n"/>
      <c r="D47" s="176" t="n"/>
      <c r="E47" s="266">
        <f>($D$21/12)*1*E21*(1+$B$2)^0</f>
        <v/>
      </c>
      <c r="F47" s="266">
        <f>($D$21/12)*1*F21*(1+$B$2)^0</f>
        <v/>
      </c>
      <c r="G47" s="267">
        <f>($D$21/12)*1*G21*(1+$B$2)^0</f>
        <v/>
      </c>
      <c r="H47" s="266">
        <f>($D$21/12)*1*H21*(1+$B$2)^0</f>
        <v/>
      </c>
      <c r="I47" s="266">
        <f>($D$21/12)*1*I21*(1+$B$2)^0</f>
        <v/>
      </c>
      <c r="J47" s="266">
        <f>($D$21/12)*1*J21*(1+$B$2)^0</f>
        <v/>
      </c>
      <c r="K47" s="266">
        <f>($D$21/12)*1*K21*(1+$B$2)^0</f>
        <v/>
      </c>
      <c r="L47" s="266">
        <f>($D$21/12)*1*L21*(1+$B$2)^0</f>
        <v/>
      </c>
      <c r="M47" s="266">
        <f>($D$21/12)*1*M21*(1+$B$2)^0</f>
        <v/>
      </c>
      <c r="N47" s="266">
        <f>($D$21/12)*3*N21*(1+$B$2)^0</f>
        <v/>
      </c>
      <c r="O47" s="266">
        <f>($D$21/12)*3*O21*(1+$B$2)^1</f>
        <v/>
      </c>
      <c r="P47" s="266">
        <f>($D$21/12)*3*P21*(1+$B$2)^1</f>
        <v/>
      </c>
      <c r="Q47" s="266">
        <f>($D$21/12)*3*Q21*(1+$B$2)^1</f>
        <v/>
      </c>
      <c r="R47" s="266">
        <f>($D$21/12)*3*R21*(1+$B$2)^1</f>
        <v/>
      </c>
      <c r="S47" s="266">
        <f>($D$21/12)*3*S21*(1+$B$2)^2</f>
        <v/>
      </c>
      <c r="T47" s="266">
        <f>($D$21/12)*3*T21*(1+$B$2)^2</f>
        <v/>
      </c>
      <c r="U47" s="266">
        <f>($D$21/12)*3*U21*(1+$B$2)^2</f>
        <v/>
      </c>
      <c r="V47" s="266">
        <f>($D$21/12)*3*V21*(1+$B$2)^2</f>
        <v/>
      </c>
      <c r="W47" s="266">
        <f>($D$21/12)*3*W21*(1+$B$2)^3</f>
        <v/>
      </c>
      <c r="X47" s="266">
        <f>($D$21/12)*3*X21*(1+$B$2)^3</f>
        <v/>
      </c>
      <c r="Y47" s="266">
        <f>($D$21/12)*3*Y21*(1+$B$2)^3</f>
        <v/>
      </c>
      <c r="Z47" s="266">
        <f>($D$21/12)*3*Z21*(1+$B$2)^3</f>
        <v/>
      </c>
      <c r="AA47" s="266">
        <f>($D$21/12)*3*AA21*(1+$B$2)^4</f>
        <v/>
      </c>
      <c r="AB47" s="266">
        <f>($D$21/12)*3*AB21*(1+$B$2)^4</f>
        <v/>
      </c>
      <c r="AC47" s="266">
        <f>($D$21/12)*3*AC21*(1+$B$2)^4</f>
        <v/>
      </c>
    </row>
    <row r="48" ht="15" customHeight="1" s="160">
      <c r="A48" s="268">
        <f>A22</f>
        <v/>
      </c>
      <c r="B48" s="182">
        <f>B22</f>
        <v/>
      </c>
      <c r="C48" s="183" t="n"/>
      <c r="D48" s="181" t="n"/>
      <c r="E48" s="269">
        <f>($D$22/12)*1*E22*(1+$B$2)^0</f>
        <v/>
      </c>
      <c r="F48" s="269">
        <f>($D$22/12)*1*F22*(1+$B$2)^0</f>
        <v/>
      </c>
      <c r="G48" s="270">
        <f>($D$22/12)*1*G22*(1+$B$2)^0</f>
        <v/>
      </c>
      <c r="H48" s="269">
        <f>($D$22/12)*1*H22*(1+$B$2)^0</f>
        <v/>
      </c>
      <c r="I48" s="269">
        <f>($D$22/12)*1*I22*(1+$B$2)^0</f>
        <v/>
      </c>
      <c r="J48" s="269">
        <f>($D$22/12)*1*J22*(1+$B$2)^0</f>
        <v/>
      </c>
      <c r="K48" s="269">
        <f>($D$22/12)*1*K22*(1+$B$2)^0</f>
        <v/>
      </c>
      <c r="L48" s="269">
        <f>($D$22/12)*1*L22*(1+$B$2)^0</f>
        <v/>
      </c>
      <c r="M48" s="269">
        <f>($D$22/12)*1*M22*(1+$B$2)^0</f>
        <v/>
      </c>
      <c r="N48" s="269">
        <f>($D$22/12)*3*N22*(1+$B$2)^0</f>
        <v/>
      </c>
      <c r="O48" s="269">
        <f>($D$22/12)*3*O22*(1+$B$2)^1</f>
        <v/>
      </c>
      <c r="P48" s="269">
        <f>($D$22/12)*3*P22*(1+$B$2)^1</f>
        <v/>
      </c>
      <c r="Q48" s="269">
        <f>($D$22/12)*3*Q22*(1+$B$2)^1</f>
        <v/>
      </c>
      <c r="R48" s="269">
        <f>($D$22/12)*3*R22*(1+$B$2)^1</f>
        <v/>
      </c>
      <c r="S48" s="269">
        <f>($D$22/12)*3*S22*(1+$B$2)^2</f>
        <v/>
      </c>
      <c r="T48" s="269">
        <f>($D$22/12)*3*T22*(1+$B$2)^2</f>
        <v/>
      </c>
      <c r="U48" s="269">
        <f>($D$22/12)*3*U22*(1+$B$2)^2</f>
        <v/>
      </c>
      <c r="V48" s="269">
        <f>($D$22/12)*3*V22*(1+$B$2)^2</f>
        <v/>
      </c>
      <c r="W48" s="269">
        <f>($D$22/12)*3*W22*(1+$B$2)^3</f>
        <v/>
      </c>
      <c r="X48" s="269">
        <f>($D$22/12)*3*X22*(1+$B$2)^3</f>
        <v/>
      </c>
      <c r="Y48" s="269">
        <f>($D$22/12)*3*Y22*(1+$B$2)^3</f>
        <v/>
      </c>
      <c r="Z48" s="269">
        <f>($D$22/12)*3*Z22*(1+$B$2)^3</f>
        <v/>
      </c>
      <c r="AA48" s="269">
        <f>($D$22/12)*3*AA22*(1+$B$2)^4</f>
        <v/>
      </c>
      <c r="AB48" s="269">
        <f>($D$22/12)*3*AB22*(1+$B$2)^4</f>
        <v/>
      </c>
      <c r="AC48" s="269">
        <f>($D$22/12)*3*AC22*(1+$B$2)^4</f>
        <v/>
      </c>
    </row>
    <row r="49" ht="15" customHeight="1" s="160">
      <c r="A49" s="265">
        <f>A23</f>
        <v/>
      </c>
      <c r="B49" s="177">
        <f>B23</f>
        <v/>
      </c>
      <c r="C49" s="178" t="n"/>
      <c r="D49" s="176" t="n"/>
      <c r="E49" s="266">
        <f>($D$23/12)*1*E23*(1+$B$2)^0</f>
        <v/>
      </c>
      <c r="F49" s="266">
        <f>($D$23/12)*1*F23*(1+$B$2)^0</f>
        <v/>
      </c>
      <c r="G49" s="267">
        <f>($D$23/12)*1*G23*(1+$B$2)^0</f>
        <v/>
      </c>
      <c r="H49" s="266">
        <f>($D$23/12)*1*H23*(1+$B$2)^0</f>
        <v/>
      </c>
      <c r="I49" s="266">
        <f>($D$23/12)*1*I23*(1+$B$2)^0</f>
        <v/>
      </c>
      <c r="J49" s="266">
        <f>($D$23/12)*1*J23*(1+$B$2)^0</f>
        <v/>
      </c>
      <c r="K49" s="266">
        <f>($D$23/12)*1*K23*(1+$B$2)^0</f>
        <v/>
      </c>
      <c r="L49" s="266">
        <f>($D$23/12)*1*L23*(1+$B$2)^0</f>
        <v/>
      </c>
      <c r="M49" s="266">
        <f>($D$23/12)*1*M23*(1+$B$2)^0</f>
        <v/>
      </c>
      <c r="N49" s="266">
        <f>($D$23/12)*3*N23*(1+$B$2)^0</f>
        <v/>
      </c>
      <c r="O49" s="266">
        <f>($D$23/12)*3*O23*(1+$B$2)^1</f>
        <v/>
      </c>
      <c r="P49" s="266">
        <f>($D$23/12)*3*P23*(1+$B$2)^1</f>
        <v/>
      </c>
      <c r="Q49" s="266">
        <f>($D$23/12)*3*Q23*(1+$B$2)^1</f>
        <v/>
      </c>
      <c r="R49" s="266">
        <f>($D$23/12)*3*R23*(1+$B$2)^1</f>
        <v/>
      </c>
      <c r="S49" s="266">
        <f>($D$23/12)*3*S23*(1+$B$2)^2</f>
        <v/>
      </c>
      <c r="T49" s="266">
        <f>($D$23/12)*3*T23*(1+$B$2)^2</f>
        <v/>
      </c>
      <c r="U49" s="266">
        <f>($D$23/12)*3*U23*(1+$B$2)^2</f>
        <v/>
      </c>
      <c r="V49" s="266">
        <f>($D$23/12)*3*V23*(1+$B$2)^2</f>
        <v/>
      </c>
      <c r="W49" s="266">
        <f>($D$23/12)*3*W23*(1+$B$2)^3</f>
        <v/>
      </c>
      <c r="X49" s="266">
        <f>($D$23/12)*3*X23*(1+$B$2)^3</f>
        <v/>
      </c>
      <c r="Y49" s="266">
        <f>($D$23/12)*3*Y23*(1+$B$2)^3</f>
        <v/>
      </c>
      <c r="Z49" s="266">
        <f>($D$23/12)*3*Z23*(1+$B$2)^3</f>
        <v/>
      </c>
      <c r="AA49" s="266">
        <f>($D$23/12)*3*AA23*(1+$B$2)^4</f>
        <v/>
      </c>
      <c r="AB49" s="266">
        <f>($D$23/12)*3*AB23*(1+$B$2)^4</f>
        <v/>
      </c>
      <c r="AC49" s="266">
        <f>($D$23/12)*3*AC23*(1+$B$2)^4</f>
        <v/>
      </c>
    </row>
    <row r="50" ht="15" customHeight="1" s="160">
      <c r="A50" s="268">
        <f>A24</f>
        <v/>
      </c>
      <c r="B50" s="182">
        <f>B24</f>
        <v/>
      </c>
      <c r="C50" s="183" t="n"/>
      <c r="D50" s="181" t="n"/>
      <c r="E50" s="269">
        <f>($D$24/12)*1*E24*(1+$B$2)^0</f>
        <v/>
      </c>
      <c r="F50" s="269">
        <f>($D$24/12)*1*F24*(1+$B$2)^0</f>
        <v/>
      </c>
      <c r="G50" s="270">
        <f>($D$24/12)*1*G24*(1+$B$2)^0</f>
        <v/>
      </c>
      <c r="H50" s="269">
        <f>($D$24/12)*1*H24*(1+$B$2)^0</f>
        <v/>
      </c>
      <c r="I50" s="269">
        <f>($D$24/12)*1*I24*(1+$B$2)^0</f>
        <v/>
      </c>
      <c r="J50" s="269">
        <f>($D$24/12)*1*J24*(1+$B$2)^0</f>
        <v/>
      </c>
      <c r="K50" s="269">
        <f>($D$24/12)*1*K24*(1+$B$2)^0</f>
        <v/>
      </c>
      <c r="L50" s="269">
        <f>($D$24/12)*1*L24*(1+$B$2)^0</f>
        <v/>
      </c>
      <c r="M50" s="269">
        <f>($D$24/12)*1*M24*(1+$B$2)^0</f>
        <v/>
      </c>
      <c r="N50" s="269">
        <f>($D$24/12)*3*N24*(1+$B$2)^0</f>
        <v/>
      </c>
      <c r="O50" s="269">
        <f>($D$24/12)*3*O24*(1+$B$2)^1</f>
        <v/>
      </c>
      <c r="P50" s="269">
        <f>($D$24/12)*3*P24*(1+$B$2)^1</f>
        <v/>
      </c>
      <c r="Q50" s="269">
        <f>($D$24/12)*3*Q24*(1+$B$2)^1</f>
        <v/>
      </c>
      <c r="R50" s="269">
        <f>($D$24/12)*3*R24*(1+$B$2)^1</f>
        <v/>
      </c>
      <c r="S50" s="269">
        <f>($D$24/12)*3*S24*(1+$B$2)^2</f>
        <v/>
      </c>
      <c r="T50" s="269">
        <f>($D$24/12)*3*T24*(1+$B$2)^2</f>
        <v/>
      </c>
      <c r="U50" s="269">
        <f>($D$24/12)*3*U24*(1+$B$2)^2</f>
        <v/>
      </c>
      <c r="V50" s="269">
        <f>($D$24/12)*3*V24*(1+$B$2)^2</f>
        <v/>
      </c>
      <c r="W50" s="269">
        <f>($D$24/12)*3*W24*(1+$B$2)^3</f>
        <v/>
      </c>
      <c r="X50" s="269">
        <f>($D$24/12)*3*X24*(1+$B$2)^3</f>
        <v/>
      </c>
      <c r="Y50" s="269">
        <f>($D$24/12)*3*Y24*(1+$B$2)^3</f>
        <v/>
      </c>
      <c r="Z50" s="269">
        <f>($D$24/12)*3*Z24*(1+$B$2)^3</f>
        <v/>
      </c>
      <c r="AA50" s="269">
        <f>($D$24/12)*3*AA24*(1+$B$2)^4</f>
        <v/>
      </c>
      <c r="AB50" s="269">
        <f>($D$24/12)*3*AB24*(1+$B$2)^4</f>
        <v/>
      </c>
      <c r="AC50" s="269">
        <f>($D$24/12)*3*AC24*(1+$B$2)^4</f>
        <v/>
      </c>
    </row>
    <row r="51" ht="15" customHeight="1" s="160">
      <c r="A51" s="265">
        <f>A25</f>
        <v/>
      </c>
      <c r="B51" s="177">
        <f>B25</f>
        <v/>
      </c>
      <c r="C51" s="178" t="n"/>
      <c r="D51" s="176" t="n"/>
      <c r="E51" s="266">
        <f>($D$25/12)*1*E25*(1+$B$2)^0</f>
        <v/>
      </c>
      <c r="F51" s="266">
        <f>($D$25/12)*1*F25*(1+$B$2)^0</f>
        <v/>
      </c>
      <c r="G51" s="267">
        <f>($D$25/12)*1*G25*(1+$B$2)^0</f>
        <v/>
      </c>
      <c r="H51" s="266">
        <f>($D$25/12)*1*H25*(1+$B$2)^0</f>
        <v/>
      </c>
      <c r="I51" s="266">
        <f>($D$25/12)*1*I25*(1+$B$2)^0</f>
        <v/>
      </c>
      <c r="J51" s="266">
        <f>($D$25/12)*1*J25*(1+$B$2)^0</f>
        <v/>
      </c>
      <c r="K51" s="266">
        <f>($D$25/12)*1*K25*(1+$B$2)^0</f>
        <v/>
      </c>
      <c r="L51" s="266">
        <f>($D$25/12)*1*L25*(1+$B$2)^0</f>
        <v/>
      </c>
      <c r="M51" s="266">
        <f>($D$25/12)*1*M25*(1+$B$2)^0</f>
        <v/>
      </c>
      <c r="N51" s="266">
        <f>($D$25/12)*3*N25*(1+$B$2)^0</f>
        <v/>
      </c>
      <c r="O51" s="266">
        <f>($D$25/12)*3*O25*(1+$B$2)^1</f>
        <v/>
      </c>
      <c r="P51" s="266">
        <f>($D$25/12)*3*P25*(1+$B$2)^1</f>
        <v/>
      </c>
      <c r="Q51" s="266">
        <f>($D$25/12)*3*Q25*(1+$B$2)^1</f>
        <v/>
      </c>
      <c r="R51" s="266">
        <f>($D$25/12)*3*R25*(1+$B$2)^1</f>
        <v/>
      </c>
      <c r="S51" s="266">
        <f>($D$25/12)*3*S25*(1+$B$2)^2</f>
        <v/>
      </c>
      <c r="T51" s="266">
        <f>($D$25/12)*3*T25*(1+$B$2)^2</f>
        <v/>
      </c>
      <c r="U51" s="266">
        <f>($D$25/12)*3*U25*(1+$B$2)^2</f>
        <v/>
      </c>
      <c r="V51" s="266">
        <f>($D$25/12)*3*V25*(1+$B$2)^2</f>
        <v/>
      </c>
      <c r="W51" s="266">
        <f>($D$25/12)*3*W25*(1+$B$2)^3</f>
        <v/>
      </c>
      <c r="X51" s="266">
        <f>($D$25/12)*3*X25*(1+$B$2)^3</f>
        <v/>
      </c>
      <c r="Y51" s="266">
        <f>($D$25/12)*3*Y25*(1+$B$2)^3</f>
        <v/>
      </c>
      <c r="Z51" s="266">
        <f>($D$25/12)*3*Z25*(1+$B$2)^3</f>
        <v/>
      </c>
      <c r="AA51" s="266">
        <f>($D$25/12)*3*AA25*(1+$B$2)^4</f>
        <v/>
      </c>
      <c r="AB51" s="266">
        <f>($D$25/12)*3*AB25*(1+$B$2)^4</f>
        <v/>
      </c>
      <c r="AC51" s="266">
        <f>($D$25/12)*3*AC25*(1+$B$2)^4</f>
        <v/>
      </c>
    </row>
    <row r="52" ht="15" customHeight="1" s="160">
      <c r="A52" s="268">
        <f>A26</f>
        <v/>
      </c>
      <c r="B52" s="182">
        <f>B26</f>
        <v/>
      </c>
      <c r="C52" s="183" t="n"/>
      <c r="D52" s="181" t="n"/>
      <c r="E52" s="269">
        <f>($D$26/12)*1*E26*(1+$B$2)^0</f>
        <v/>
      </c>
      <c r="F52" s="269">
        <f>($D$26/12)*1*F26*(1+$B$2)^0</f>
        <v/>
      </c>
      <c r="G52" s="270">
        <f>($D$26/12)*1*G26*(1+$B$2)^0</f>
        <v/>
      </c>
      <c r="H52" s="269">
        <f>($D$26/12)*1*H26*(1+$B$2)^0</f>
        <v/>
      </c>
      <c r="I52" s="269">
        <f>($D$26/12)*1*I26*(1+$B$2)^0</f>
        <v/>
      </c>
      <c r="J52" s="269">
        <f>($D$26/12)*1*J26*(1+$B$2)^0</f>
        <v/>
      </c>
      <c r="K52" s="269">
        <f>($D$26/12)*1*K26*(1+$B$2)^0</f>
        <v/>
      </c>
      <c r="L52" s="269">
        <f>($D$26/12)*1*L26*(1+$B$2)^0</f>
        <v/>
      </c>
      <c r="M52" s="269">
        <f>($D$26/12)*1*M26*(1+$B$2)^0</f>
        <v/>
      </c>
      <c r="N52" s="269">
        <f>($D$26/12)*3*N26*(1+$B$2)^0</f>
        <v/>
      </c>
      <c r="O52" s="269">
        <f>($D$26/12)*3*O26*(1+$B$2)^1</f>
        <v/>
      </c>
      <c r="P52" s="269">
        <f>($D$26/12)*3*P26*(1+$B$2)^1</f>
        <v/>
      </c>
      <c r="Q52" s="269">
        <f>($D$26/12)*3*Q26*(1+$B$2)^1</f>
        <v/>
      </c>
      <c r="R52" s="269">
        <f>($D$26/12)*3*R26*(1+$B$2)^1</f>
        <v/>
      </c>
      <c r="S52" s="269">
        <f>($D$26/12)*3*S26*(1+$B$2)^2</f>
        <v/>
      </c>
      <c r="T52" s="269">
        <f>($D$26/12)*3*T26*(1+$B$2)^2</f>
        <v/>
      </c>
      <c r="U52" s="269">
        <f>($D$26/12)*3*U26*(1+$B$2)^2</f>
        <v/>
      </c>
      <c r="V52" s="269">
        <f>($D$26/12)*3*V26*(1+$B$2)^2</f>
        <v/>
      </c>
      <c r="W52" s="269">
        <f>($D$26/12)*3*W26*(1+$B$2)^3</f>
        <v/>
      </c>
      <c r="X52" s="269">
        <f>($D$26/12)*3*X26*(1+$B$2)^3</f>
        <v/>
      </c>
      <c r="Y52" s="269">
        <f>($D$26/12)*3*Y26*(1+$B$2)^3</f>
        <v/>
      </c>
      <c r="Z52" s="269">
        <f>($D$26/12)*3*Z26*(1+$B$2)^3</f>
        <v/>
      </c>
      <c r="AA52" s="269">
        <f>($D$26/12)*3*AA26*(1+$B$2)^4</f>
        <v/>
      </c>
      <c r="AB52" s="269">
        <f>($D$26/12)*3*AB26*(1+$B$2)^4</f>
        <v/>
      </c>
      <c r="AC52" s="269">
        <f>($D$26/12)*3*AC26*(1+$B$2)^4</f>
        <v/>
      </c>
    </row>
    <row r="53" ht="15" customHeight="1" s="160">
      <c r="A53" s="265">
        <f>A27</f>
        <v/>
      </c>
      <c r="B53" s="177">
        <f>B27</f>
        <v/>
      </c>
      <c r="C53" s="178" t="n"/>
      <c r="D53" s="176" t="n"/>
      <c r="E53" s="266">
        <f>($D$27/12)*1*E27*(1+$B$2)^0</f>
        <v/>
      </c>
      <c r="F53" s="266">
        <f>($D$27/12)*1*F27*(1+$B$2)^0</f>
        <v/>
      </c>
      <c r="G53" s="267">
        <f>($D$27/12)*1*G27*(1+$B$2)^0</f>
        <v/>
      </c>
      <c r="H53" s="266">
        <f>($D$27/12)*1*H27*(1+$B$2)^0</f>
        <v/>
      </c>
      <c r="I53" s="266">
        <f>($D$27/12)*1*I27*(1+$B$2)^0</f>
        <v/>
      </c>
      <c r="J53" s="266">
        <f>($D$27/12)*1*J27*(1+$B$2)^0</f>
        <v/>
      </c>
      <c r="K53" s="266">
        <f>($D$27/12)*1*K27*(1+$B$2)^0</f>
        <v/>
      </c>
      <c r="L53" s="266">
        <f>($D$27/12)*1*L27*(1+$B$2)^0</f>
        <v/>
      </c>
      <c r="M53" s="266">
        <f>($D$27/12)*1*M27*(1+$B$2)^0</f>
        <v/>
      </c>
      <c r="N53" s="266">
        <f>($D$27/12)*3*N27*(1+$B$2)^0</f>
        <v/>
      </c>
      <c r="O53" s="266">
        <f>($D$27/12)*3*O27*(1+$B$2)^1</f>
        <v/>
      </c>
      <c r="P53" s="266">
        <f>($D$27/12)*3*P27*(1+$B$2)^1</f>
        <v/>
      </c>
      <c r="Q53" s="266">
        <f>($D$27/12)*3*Q27*(1+$B$2)^1</f>
        <v/>
      </c>
      <c r="R53" s="266">
        <f>($D$27/12)*3*R27*(1+$B$2)^1</f>
        <v/>
      </c>
      <c r="S53" s="266">
        <f>($D$27/12)*3*S27*(1+$B$2)^2</f>
        <v/>
      </c>
      <c r="T53" s="266">
        <f>($D$27/12)*3*T27*(1+$B$2)^2</f>
        <v/>
      </c>
      <c r="U53" s="266">
        <f>($D$27/12)*3*U27*(1+$B$2)^2</f>
        <v/>
      </c>
      <c r="V53" s="266">
        <f>($D$27/12)*3*V27*(1+$B$2)^2</f>
        <v/>
      </c>
      <c r="W53" s="266">
        <f>($D$27/12)*3*W27*(1+$B$2)^3</f>
        <v/>
      </c>
      <c r="X53" s="266">
        <f>($D$27/12)*3*X27*(1+$B$2)^3</f>
        <v/>
      </c>
      <c r="Y53" s="266">
        <f>($D$27/12)*3*Y27*(1+$B$2)^3</f>
        <v/>
      </c>
      <c r="Z53" s="266">
        <f>($D$27/12)*3*Z27*(1+$B$2)^3</f>
        <v/>
      </c>
      <c r="AA53" s="266">
        <f>($D$27/12)*3*AA27*(1+$B$2)^4</f>
        <v/>
      </c>
      <c r="AB53" s="266">
        <f>($D$27/12)*3*AB27*(1+$B$2)^4</f>
        <v/>
      </c>
      <c r="AC53" s="266">
        <f>($D$27/12)*3*AC27*(1+$B$2)^4</f>
        <v/>
      </c>
    </row>
    <row r="54" ht="15" customHeight="1" s="160">
      <c r="A54" s="268">
        <f>A28</f>
        <v/>
      </c>
      <c r="B54" s="182">
        <f>B28</f>
        <v/>
      </c>
      <c r="C54" s="183" t="n"/>
      <c r="D54" s="181" t="n"/>
      <c r="E54" s="269">
        <f>($D$28/12)*1*E28*(1+$B$2)^0</f>
        <v/>
      </c>
      <c r="F54" s="269">
        <f>($D$28/12)*1*F28*(1+$B$2)^0</f>
        <v/>
      </c>
      <c r="G54" s="270">
        <f>($D$28/12)*1*G28*(1+$B$2)^0</f>
        <v/>
      </c>
      <c r="H54" s="269">
        <f>($D$28/12)*1*H28*(1+$B$2)^0</f>
        <v/>
      </c>
      <c r="I54" s="269">
        <f>($D$28/12)*1*I28*(1+$B$2)^0</f>
        <v/>
      </c>
      <c r="J54" s="269">
        <f>($D$28/12)*1*J28*(1+$B$2)^0</f>
        <v/>
      </c>
      <c r="K54" s="269">
        <f>($D$28/12)*1*K28*(1+$B$2)^0</f>
        <v/>
      </c>
      <c r="L54" s="269">
        <f>($D$28/12)*1*L28*(1+$B$2)^0</f>
        <v/>
      </c>
      <c r="M54" s="269">
        <f>($D$28/12)*1*M28*(1+$B$2)^0</f>
        <v/>
      </c>
      <c r="N54" s="269">
        <f>($D$28/12)*3*N28*(1+$B$2)^0</f>
        <v/>
      </c>
      <c r="O54" s="269">
        <f>($D$28/12)*3*O28*(1+$B$2)^1</f>
        <v/>
      </c>
      <c r="P54" s="269">
        <f>($D$28/12)*3*P28*(1+$B$2)^1</f>
        <v/>
      </c>
      <c r="Q54" s="269">
        <f>($D$28/12)*3*Q28*(1+$B$2)^1</f>
        <v/>
      </c>
      <c r="R54" s="269">
        <f>($D$28/12)*3*R28*(1+$B$2)^1</f>
        <v/>
      </c>
      <c r="S54" s="269">
        <f>($D$28/12)*3*S28*(1+$B$2)^2</f>
        <v/>
      </c>
      <c r="T54" s="269">
        <f>($D$28/12)*3*T28*(1+$B$2)^2</f>
        <v/>
      </c>
      <c r="U54" s="269">
        <f>($D$28/12)*3*U28*(1+$B$2)^2</f>
        <v/>
      </c>
      <c r="V54" s="269">
        <f>($D$28/12)*3*V28*(1+$B$2)^2</f>
        <v/>
      </c>
      <c r="W54" s="269">
        <f>($D$28/12)*3*W28*(1+$B$2)^3</f>
        <v/>
      </c>
      <c r="X54" s="269">
        <f>($D$28/12)*3*X28*(1+$B$2)^3</f>
        <v/>
      </c>
      <c r="Y54" s="269">
        <f>($D$28/12)*3*Y28*(1+$B$2)^3</f>
        <v/>
      </c>
      <c r="Z54" s="269">
        <f>($D$28/12)*3*Z28*(1+$B$2)^3</f>
        <v/>
      </c>
      <c r="AA54" s="269">
        <f>($D$28/12)*3*AA28*(1+$B$2)^4</f>
        <v/>
      </c>
      <c r="AB54" s="269">
        <f>($D$28/12)*3*AB28*(1+$B$2)^4</f>
        <v/>
      </c>
      <c r="AC54" s="269">
        <f>($D$28/12)*3*AC28*(1+$B$2)^4</f>
        <v/>
      </c>
    </row>
    <row r="55" ht="15" customHeight="1" s="160">
      <c r="A55" s="265">
        <f>A29</f>
        <v/>
      </c>
      <c r="B55" s="177">
        <f>B29</f>
        <v/>
      </c>
      <c r="C55" s="178" t="n"/>
      <c r="D55" s="176" t="n"/>
      <c r="E55" s="266">
        <f>($D$29/12)*1*E29*(1+$B$2)^0</f>
        <v/>
      </c>
      <c r="F55" s="266">
        <f>($D$29/12)*1*F29*(1+$B$2)^0</f>
        <v/>
      </c>
      <c r="G55" s="267">
        <f>($D$29/12)*1*G29*(1+$B$2)^0</f>
        <v/>
      </c>
      <c r="H55" s="266">
        <f>($D$29/12)*1*H29*(1+$B$2)^0</f>
        <v/>
      </c>
      <c r="I55" s="266">
        <f>($D$29/12)*1*I29*(1+$B$2)^0</f>
        <v/>
      </c>
      <c r="J55" s="266">
        <f>($D$29/12)*1*J29*(1+$B$2)^0</f>
        <v/>
      </c>
      <c r="K55" s="266">
        <f>($D$29/12)*1*K29*(1+$B$2)^0</f>
        <v/>
      </c>
      <c r="L55" s="266">
        <f>($D$29/12)*1*L29*(1+$B$2)^0</f>
        <v/>
      </c>
      <c r="M55" s="266">
        <f>($D$29/12)*1*M29*(1+$B$2)^0</f>
        <v/>
      </c>
      <c r="N55" s="266">
        <f>($D$29/12)*3*N29*(1+$B$2)^0</f>
        <v/>
      </c>
      <c r="O55" s="266">
        <f>($D$29/12)*3*O29*(1+$B$2)^1</f>
        <v/>
      </c>
      <c r="P55" s="266">
        <f>($D$29/12)*3*P29*(1+$B$2)^1</f>
        <v/>
      </c>
      <c r="Q55" s="266">
        <f>($D$29/12)*3*Q29*(1+$B$2)^1</f>
        <v/>
      </c>
      <c r="R55" s="266">
        <f>($D$29/12)*3*R29*(1+$B$2)^1</f>
        <v/>
      </c>
      <c r="S55" s="266">
        <f>($D$29/12)*3*S29*(1+$B$2)^2</f>
        <v/>
      </c>
      <c r="T55" s="266">
        <f>($D$29/12)*3*T29*(1+$B$2)^2</f>
        <v/>
      </c>
      <c r="U55" s="266">
        <f>($D$29/12)*3*U29*(1+$B$2)^2</f>
        <v/>
      </c>
      <c r="V55" s="266">
        <f>($D$29/12)*3*V29*(1+$B$2)^2</f>
        <v/>
      </c>
      <c r="W55" s="266">
        <f>($D$29/12)*3*W29*(1+$B$2)^3</f>
        <v/>
      </c>
      <c r="X55" s="266">
        <f>($D$29/12)*3*X29*(1+$B$2)^3</f>
        <v/>
      </c>
      <c r="Y55" s="266">
        <f>($D$29/12)*3*Y29*(1+$B$2)^3</f>
        <v/>
      </c>
      <c r="Z55" s="266">
        <f>($D$29/12)*3*Z29*(1+$B$2)^3</f>
        <v/>
      </c>
      <c r="AA55" s="266">
        <f>($D$29/12)*3*AA29*(1+$B$2)^4</f>
        <v/>
      </c>
      <c r="AB55" s="266">
        <f>($D$29/12)*3*AB29*(1+$B$2)^4</f>
        <v/>
      </c>
      <c r="AC55" s="266">
        <f>($D$29/12)*3*AC29*(1+$B$2)^4</f>
        <v/>
      </c>
    </row>
    <row r="57" ht="15" customHeight="1" s="160">
      <c r="A57" s="188" t="inlineStr">
        <is>
          <t>C. COST SUMMARY BY P&amp;L CATEGORY</t>
        </is>
      </c>
      <c r="B57" s="188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7" t="n"/>
      <c r="N57" s="187" t="n"/>
      <c r="O57" s="187" t="n"/>
      <c r="P57" s="187" t="n"/>
      <c r="Q57" s="187" t="n"/>
      <c r="R57" s="187" t="n"/>
      <c r="S57" s="187" t="n"/>
      <c r="T57" s="187" t="n"/>
      <c r="U57" s="187" t="n"/>
      <c r="V57" s="187" t="n"/>
      <c r="W57" s="187" t="n"/>
      <c r="X57" s="187" t="n"/>
      <c r="Y57" s="187" t="n"/>
      <c r="Z57" s="187" t="n"/>
      <c r="AA57" s="187" t="n"/>
      <c r="AB57" s="187" t="n"/>
      <c r="AC57" s="187" t="n"/>
    </row>
    <row r="58" ht="15" customHeight="1" s="160">
      <c r="A58" s="271" t="inlineStr">
        <is>
          <t>Sales &amp; Marketing Personnel</t>
        </is>
      </c>
      <c r="B58" s="177" t="n"/>
      <c r="C58" s="178" t="n"/>
      <c r="D58" s="176" t="n"/>
      <c r="E58" s="266">
        <f>E47+E48+E49+E50+E51+E52+E53+E54</f>
        <v/>
      </c>
      <c r="F58" s="266">
        <f>F47+F48+F49+F50+F51+F52+F53+F54</f>
        <v/>
      </c>
      <c r="G58" s="267">
        <f>G47+G48+G49+G50+G51+G52+G53+G54</f>
        <v/>
      </c>
      <c r="H58" s="266">
        <f>H47+H48+H49+H50+H51+H52+H53+H54</f>
        <v/>
      </c>
      <c r="I58" s="266">
        <f>I47+I48+I49+I50+I51+I52+I53+I54</f>
        <v/>
      </c>
      <c r="J58" s="266">
        <f>J47+J48+J49+J50+J51+J52+J53+J54</f>
        <v/>
      </c>
      <c r="K58" s="266">
        <f>K47+K48+K49+K50+K51+K52+K53+K54</f>
        <v/>
      </c>
      <c r="L58" s="266">
        <f>L47+L48+L49+L50+L51+L52+L53+L54</f>
        <v/>
      </c>
      <c r="M58" s="266">
        <f>M47+M48+M49+M50+M51+M52+M53+M54</f>
        <v/>
      </c>
      <c r="N58" s="266">
        <f>N47+N48+N49+N50+N51+N52+N53+N54</f>
        <v/>
      </c>
      <c r="O58" s="266">
        <f>O47+O48+O49+O50+O51+O52+O53+O54</f>
        <v/>
      </c>
      <c r="P58" s="266">
        <f>P47+P48+P49+P50+P51+P52+P53+P54</f>
        <v/>
      </c>
      <c r="Q58" s="266">
        <f>Q47+Q48+Q49+Q50+Q51+Q52+Q53+Q54</f>
        <v/>
      </c>
      <c r="R58" s="266">
        <f>R47+R48+R49+R50+R51+R52+R53+R54</f>
        <v/>
      </c>
      <c r="S58" s="266">
        <f>S47+S48+S49+S50+S51+S52+S53+S54</f>
        <v/>
      </c>
      <c r="T58" s="266">
        <f>T47+T48+T49+T50+T51+T52+T53+T54</f>
        <v/>
      </c>
      <c r="U58" s="266">
        <f>U47+U48+U49+U50+U51+U52+U53+U54</f>
        <v/>
      </c>
      <c r="V58" s="266">
        <f>V47+V48+V49+V50+V51+V52+V53+V54</f>
        <v/>
      </c>
      <c r="W58" s="266">
        <f>W47+W48+W49+W50+W51+W52+W53+W54</f>
        <v/>
      </c>
      <c r="X58" s="266">
        <f>X47+X48+X49+X50+X51+X52+X53+X54</f>
        <v/>
      </c>
      <c r="Y58" s="266">
        <f>Y47+Y48+Y49+Y50+Y51+Y52+Y53+Y54</f>
        <v/>
      </c>
      <c r="Z58" s="266">
        <f>Z47+Z48+Z49+Z50+Z51+Z52+Z53+Z54</f>
        <v/>
      </c>
      <c r="AA58" s="266">
        <f>AA47+AA48+AA49+AA50+AA51+AA52+AA53+AA54</f>
        <v/>
      </c>
      <c r="AB58" s="266">
        <f>AB47+AB48+AB49+AB50+AB51+AB52+AB53+AB54</f>
        <v/>
      </c>
      <c r="AC58" s="266">
        <f>AC47+AC48+AC49+AC50+AC51+AC52+AC53+AC54</f>
        <v/>
      </c>
    </row>
    <row r="59" ht="15" customHeight="1" s="160">
      <c r="A59" s="271" t="inlineStr">
        <is>
          <t>Product &amp; Engineering Personnel</t>
        </is>
      </c>
      <c r="B59" s="177" t="n"/>
      <c r="C59" s="178" t="n"/>
      <c r="D59" s="176" t="n"/>
      <c r="E59" s="266">
        <f>E36+E37+E38+E39+E40+E41+E42+E43+E44+E45+E46</f>
        <v/>
      </c>
      <c r="F59" s="266">
        <f>F36+F37+F38+F39+F40+F41+F42+F43+F44+F45+F46</f>
        <v/>
      </c>
      <c r="G59" s="267">
        <f>G36+G37+G38+G39+G40+G41+G42+G43+G44+G45+G46</f>
        <v/>
      </c>
      <c r="H59" s="266">
        <f>H36+H37+H38+H39+H40+H41+H42+H43+H44+H45+H46</f>
        <v/>
      </c>
      <c r="I59" s="266">
        <f>I36+I37+I38+I39+I40+I41+I42+I43+I44+I45+I46</f>
        <v/>
      </c>
      <c r="J59" s="266">
        <f>J36+J37+J38+J39+J40+J41+J42+J43+J44+J45+J46</f>
        <v/>
      </c>
      <c r="K59" s="266">
        <f>K36+K37+K38+K39+K40+K41+K42+K43+K44+K45+K46</f>
        <v/>
      </c>
      <c r="L59" s="266">
        <f>L36+L37+L38+L39+L40+L41+L42+L43+L44+L45+L46</f>
        <v/>
      </c>
      <c r="M59" s="266">
        <f>M36+M37+M38+M39+M40+M41+M42+M43+M44+M45+M46</f>
        <v/>
      </c>
      <c r="N59" s="266">
        <f>N36+N37+N38+N39+N40+N41+N42+N43+N44+N45+N46</f>
        <v/>
      </c>
      <c r="O59" s="266">
        <f>O36+O37+O38+O39+O40+O41+O42+O43+O44+O45+O46</f>
        <v/>
      </c>
      <c r="P59" s="266">
        <f>P36+P37+P38+P39+P40+P41+P42+P43+P44+P45+P46</f>
        <v/>
      </c>
      <c r="Q59" s="266">
        <f>Q36+Q37+Q38+Q39+Q40+Q41+Q42+Q43+Q44+Q45+Q46</f>
        <v/>
      </c>
      <c r="R59" s="266">
        <f>R36+R37+R38+R39+R40+R41+R42+R43+R44+R45+R46</f>
        <v/>
      </c>
      <c r="S59" s="266">
        <f>S36+S37+S38+S39+S40+S41+S42+S43+S44+S45+S46</f>
        <v/>
      </c>
      <c r="T59" s="266">
        <f>T36+T37+T38+T39+T40+T41+T42+T43+T44+T45+T46</f>
        <v/>
      </c>
      <c r="U59" s="266">
        <f>U36+U37+U38+U39+U40+U41+U42+U43+U44+U45+U46</f>
        <v/>
      </c>
      <c r="V59" s="266">
        <f>V36+V37+V38+V39+V40+V41+V42+V43+V44+V45+V46</f>
        <v/>
      </c>
      <c r="W59" s="266">
        <f>W36+W37+W38+W39+W40+W41+W42+W43+W44+W45+W46</f>
        <v/>
      </c>
      <c r="X59" s="266">
        <f>X36+X37+X38+X39+X40+X41+X42+X43+X44+X45+X46</f>
        <v/>
      </c>
      <c r="Y59" s="266">
        <f>Y36+Y37+Y38+Y39+Y40+Y41+Y42+Y43+Y44+Y45+Y46</f>
        <v/>
      </c>
      <c r="Z59" s="266">
        <f>Z36+Z37+Z38+Z39+Z40+Z41+Z42+Z43+Z44+Z45+Z46</f>
        <v/>
      </c>
      <c r="AA59" s="266">
        <f>AA36+AA37+AA38+AA39+AA40+AA41+AA42+AA43+AA44+AA45+AA46</f>
        <v/>
      </c>
      <c r="AB59" s="266">
        <f>AB36+AB37+AB38+AB39+AB40+AB41+AB42+AB43+AB44+AB45+AB46</f>
        <v/>
      </c>
      <c r="AC59" s="266">
        <f>AC36+AC37+AC38+AC39+AC40+AC41+AC42+AC43+AC44+AC45+AC46</f>
        <v/>
      </c>
    </row>
    <row r="60" ht="15" customHeight="1" s="160">
      <c r="A60" s="271" t="inlineStr">
        <is>
          <t>G&amp;A Personnel</t>
        </is>
      </c>
      <c r="B60" s="177" t="n"/>
      <c r="C60" s="178" t="n"/>
      <c r="D60" s="176" t="n"/>
      <c r="E60" s="266">
        <f>E33+E34+E35+E55</f>
        <v/>
      </c>
      <c r="F60" s="266">
        <f>F33+F34+F35+F55</f>
        <v/>
      </c>
      <c r="G60" s="266">
        <f>G33+G34+G35+G55</f>
        <v/>
      </c>
      <c r="H60" s="266">
        <f>H33+H34+H35+H55</f>
        <v/>
      </c>
      <c r="I60" s="266">
        <f>I33+I34+I35+I55</f>
        <v/>
      </c>
      <c r="J60" s="266">
        <f>J33+J34+J35+J55</f>
        <v/>
      </c>
      <c r="K60" s="266">
        <f>K33+K34+K35+K55</f>
        <v/>
      </c>
      <c r="L60" s="266">
        <f>L33+L34+L35+L55</f>
        <v/>
      </c>
      <c r="M60" s="266">
        <f>M33+M34+M35+M55</f>
        <v/>
      </c>
      <c r="N60" s="266">
        <f>N33+N34+N35+N55</f>
        <v/>
      </c>
      <c r="O60" s="266">
        <f>O33+O34+O35+O55</f>
        <v/>
      </c>
      <c r="P60" s="266">
        <f>P33+P34+P35+P55</f>
        <v/>
      </c>
      <c r="Q60" s="266">
        <f>Q33+Q34+Q35+Q55</f>
        <v/>
      </c>
      <c r="R60" s="266">
        <f>R33+R34+R35+R55</f>
        <v/>
      </c>
      <c r="S60" s="266">
        <f>S33+S34+S35+S55</f>
        <v/>
      </c>
      <c r="T60" s="266">
        <f>T33+T34+T35+T55</f>
        <v/>
      </c>
      <c r="U60" s="266">
        <f>U33+U34+U35+U55</f>
        <v/>
      </c>
      <c r="V60" s="266">
        <f>V33+V34+V35+V55</f>
        <v/>
      </c>
      <c r="W60" s="266">
        <f>W33+W34+W35+W55</f>
        <v/>
      </c>
      <c r="X60" s="266">
        <f>X33+X34+X35+X55</f>
        <v/>
      </c>
      <c r="Y60" s="266">
        <f>Y33+Y34+Y35+Y55</f>
        <v/>
      </c>
      <c r="Z60" s="266">
        <f>Z33+Z34+Z35+Z55</f>
        <v/>
      </c>
      <c r="AA60" s="266">
        <f>AA33+AA34+AA35+AA55</f>
        <v/>
      </c>
      <c r="AB60" s="266">
        <f>AB33+AB34+AB35+AB55</f>
        <v/>
      </c>
      <c r="AC60" s="266">
        <f>AC33+AC34+AC35+AC55</f>
        <v/>
      </c>
    </row>
    <row r="61" ht="15" customHeight="1" s="160">
      <c r="A61" s="272" t="inlineStr">
        <is>
          <t>TOTAL PERSONNEL COST</t>
        </is>
      </c>
      <c r="B61" s="247" t="n"/>
      <c r="C61" s="248" t="n"/>
      <c r="D61" s="249" t="n"/>
      <c r="E61" s="249">
        <f>E58+E59+E60</f>
        <v/>
      </c>
      <c r="F61" s="249">
        <f>F58+F59+F60</f>
        <v/>
      </c>
      <c r="G61" s="249">
        <f>G58+G59+G60</f>
        <v/>
      </c>
      <c r="H61" s="249">
        <f>H58+H59+H60</f>
        <v/>
      </c>
      <c r="I61" s="249">
        <f>I58+I59+I60</f>
        <v/>
      </c>
      <c r="J61" s="249">
        <f>J58+J59+J60</f>
        <v/>
      </c>
      <c r="K61" s="249">
        <f>K58+K59+K60</f>
        <v/>
      </c>
      <c r="L61" s="249">
        <f>L58+L59+L60</f>
        <v/>
      </c>
      <c r="M61" s="249">
        <f>M58+M59+M60</f>
        <v/>
      </c>
      <c r="N61" s="249">
        <f>N58+N59+N60</f>
        <v/>
      </c>
      <c r="O61" s="249">
        <f>O58+O59+O60</f>
        <v/>
      </c>
      <c r="P61" s="249">
        <f>P58+P59+P60</f>
        <v/>
      </c>
      <c r="Q61" s="249">
        <f>Q58+Q59+Q60</f>
        <v/>
      </c>
      <c r="R61" s="249">
        <f>R58+R59+R60</f>
        <v/>
      </c>
      <c r="S61" s="249">
        <f>S58+S59+S60</f>
        <v/>
      </c>
      <c r="T61" s="249">
        <f>T58+T59+T60</f>
        <v/>
      </c>
      <c r="U61" s="249">
        <f>U58+U59+U60</f>
        <v/>
      </c>
      <c r="V61" s="249">
        <f>V58+V59+V60</f>
        <v/>
      </c>
      <c r="W61" s="249">
        <f>W58+W59+W60</f>
        <v/>
      </c>
      <c r="X61" s="249">
        <f>X58+X59+X60</f>
        <v/>
      </c>
      <c r="Y61" s="249">
        <f>Y58+Y59+Y60</f>
        <v/>
      </c>
      <c r="Z61" s="249">
        <f>Z58+Z59+Z60</f>
        <v/>
      </c>
      <c r="AA61" s="249">
        <f>AA58+AA59+AA60</f>
        <v/>
      </c>
      <c r="AB61" s="249">
        <f>AB58+AB59+AB60</f>
        <v/>
      </c>
      <c r="AC61" s="249">
        <f>AC58+AC59+AC60</f>
        <v/>
      </c>
    </row>
    <row r="63" ht="15" customHeight="1" s="160">
      <c r="A63" s="271" t="inlineStr">
        <is>
          <t>Active AE Count</t>
        </is>
      </c>
      <c r="B63" s="177" t="n"/>
      <c r="C63" s="178" t="n"/>
      <c r="D63" s="176" t="n"/>
      <c r="E63" s="177">
        <f>E21+E22+E23+E24+E25+E26+E27</f>
        <v/>
      </c>
      <c r="F63" s="177">
        <f>F21+F22+F23+F24+F25+F26+F27</f>
        <v/>
      </c>
      <c r="G63" s="273">
        <f>G21+G22+G23+G24+G25+G26+G27</f>
        <v/>
      </c>
      <c r="H63" s="177">
        <f>H21+H22+H23+H24+H25+H26+H27</f>
        <v/>
      </c>
      <c r="I63" s="177">
        <f>I21+I22+I23+I24+I25+I26+I27</f>
        <v/>
      </c>
      <c r="J63" s="177">
        <f>J21+J22+J23+J24+J25+J26+J27</f>
        <v/>
      </c>
      <c r="K63" s="177">
        <f>K21+K22+K23+K24+K25+K26+K27</f>
        <v/>
      </c>
      <c r="L63" s="177">
        <f>L21+L22+L23+L24+L25+L26+L27</f>
        <v/>
      </c>
      <c r="M63" s="177">
        <f>M21+M22+M23+M24+M25+M26+M27</f>
        <v/>
      </c>
      <c r="N63" s="177">
        <f>N21+N22+N23+N24+N25+N26+N27</f>
        <v/>
      </c>
      <c r="O63" s="177">
        <f>O21+O22+O23+O24+O25+O26+O27</f>
        <v/>
      </c>
      <c r="P63" s="177">
        <f>P21+P22+P23+P24+P25+P26+P27</f>
        <v/>
      </c>
      <c r="Q63" s="177">
        <f>Q21+Q22+Q23+Q24+Q25+Q26+Q27</f>
        <v/>
      </c>
      <c r="R63" s="177">
        <f>R21+R22+R23+R24+R25+R26+R27</f>
        <v/>
      </c>
      <c r="S63" s="177">
        <f>S21+S22+S23+S24+S25+S26+S27</f>
        <v/>
      </c>
      <c r="T63" s="177">
        <f>T21+T22+T23+T24+T25+T26+T27</f>
        <v/>
      </c>
      <c r="U63" s="177">
        <f>U21+U22+U23+U24+U25+U26+U27</f>
        <v/>
      </c>
      <c r="V63" s="177">
        <f>V21+V22+V23+V24+V25+V26+V27</f>
        <v/>
      </c>
      <c r="W63" s="177">
        <f>W21+W22+W23+W24+W25+W26+W27</f>
        <v/>
      </c>
      <c r="X63" s="177">
        <f>X21+X22+X23+X24+X25+X26+X27</f>
        <v/>
      </c>
      <c r="Y63" s="177">
        <f>Y21+Y22+Y23+Y24+Y25+Y26+Y27</f>
        <v/>
      </c>
      <c r="Z63" s="177">
        <f>Z21+Z22+Z23+Z24+Z25+Z26+Z27</f>
        <v/>
      </c>
      <c r="AA63" s="177">
        <f>AA21+AA22+AA23+AA24+AA25+AA26+AA27</f>
        <v/>
      </c>
      <c r="AB63" s="177">
        <f>AB21+AB22+AB23+AB24+AB25+AB26+AB27</f>
        <v/>
      </c>
      <c r="AC63" s="177">
        <f>AC21+AC22+AC23+AC24+AC25+AC26+AC27</f>
        <v/>
      </c>
    </row>
  </sheetData>
  <mergeCells count="1">
    <mergeCell ref="A1:A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Y25"/>
  <sheetViews>
    <sheetView showFormulas="0" showGridLines="1" showRowColHeaders="1" showZeros="1" rightToLeft="0" tabSelected="0" showOutlineSymbols="1" defaultGridColor="1" view="normal" topLeftCell="A1" colorId="64" zoomScale="112" zoomScaleNormal="112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G11" activeCellId="0" sqref="G11"/>
    </sheetView>
  </sheetViews>
  <sheetFormatPr baseColWidth="8" defaultColWidth="8.5703125" defaultRowHeight="14.25" customHeight="0" zeroHeight="0" outlineLevelRow="0"/>
  <cols>
    <col width="3" customWidth="1" style="159" min="1" max="1"/>
    <col width="48" customWidth="1" style="159" min="2" max="2"/>
    <col width="8" customWidth="1" style="159" min="3" max="3"/>
    <col width="14" customWidth="1" style="159" min="5" max="29"/>
  </cols>
  <sheetData>
    <row r="1" ht="15" customHeight="1" s="160">
      <c r="A1" s="274" t="inlineStr">
        <is>
          <t xml:space="preserve">  6_UnitEconomics  |  CAC · LTV · NRR · Payback · Rule of 40  |  Apr 2026 → Q4 2030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167" t="n"/>
      <c r="T1" s="167" t="n"/>
      <c r="U1" s="167" t="n"/>
      <c r="V1" s="167" t="n"/>
      <c r="W1" s="167" t="n"/>
      <c r="X1" s="167" t="n"/>
      <c r="Y1" s="167" t="n"/>
      <c r="Z1" s="167" t="n"/>
      <c r="AA1" s="167" t="n"/>
      <c r="AB1" s="167" t="n"/>
      <c r="AC1" s="167" t="n"/>
    </row>
    <row r="2" ht="15" customHeight="1" s="160">
      <c r="E2" s="257" t="inlineStr">
        <is>
          <t>2026 (Monthly)</t>
        </is>
      </c>
      <c r="N2" s="257" t="inlineStr">
        <is>
          <t>2027</t>
        </is>
      </c>
      <c r="R2" s="257" t="inlineStr">
        <is>
          <t>2028</t>
        </is>
      </c>
      <c r="V2" s="257" t="inlineStr">
        <is>
          <t>2029</t>
        </is>
      </c>
      <c r="Z2" s="257" t="inlineStr">
        <is>
          <t>2030</t>
        </is>
      </c>
    </row>
    <row r="3" ht="15" customHeight="1" s="160">
      <c r="A3" s="169" t="n"/>
      <c r="B3" s="275" t="inlineStr">
        <is>
          <t>Metric</t>
        </is>
      </c>
      <c r="C3" s="276" t="inlineStr">
        <is>
          <t>Units</t>
        </is>
      </c>
      <c r="D3" s="169" t="n"/>
      <c r="E3" s="277" t="inlineStr">
        <is>
          <t>Apr</t>
        </is>
      </c>
      <c r="F3" s="277" t="inlineStr">
        <is>
          <t>May</t>
        </is>
      </c>
      <c r="G3" s="277" t="inlineStr">
        <is>
          <t>Jun</t>
        </is>
      </c>
      <c r="H3" s="277" t="inlineStr">
        <is>
          <t>Jul</t>
        </is>
      </c>
      <c r="I3" s="277" t="inlineStr">
        <is>
          <t>Aug</t>
        </is>
      </c>
      <c r="J3" s="277" t="inlineStr">
        <is>
          <t>Sep</t>
        </is>
      </c>
      <c r="K3" s="277" t="inlineStr">
        <is>
          <t>Oct</t>
        </is>
      </c>
      <c r="L3" s="277" t="inlineStr">
        <is>
          <t>Nov</t>
        </is>
      </c>
      <c r="M3" s="277" t="inlineStr">
        <is>
          <t>Dec</t>
        </is>
      </c>
      <c r="N3" s="277" t="inlineStr">
        <is>
          <t>Q1</t>
        </is>
      </c>
      <c r="O3" s="277" t="inlineStr">
        <is>
          <t>Q2</t>
        </is>
      </c>
      <c r="P3" s="277" t="inlineStr">
        <is>
          <t>Q3</t>
        </is>
      </c>
      <c r="Q3" s="277" t="inlineStr">
        <is>
          <t>Q4</t>
        </is>
      </c>
      <c r="R3" s="277" t="inlineStr">
        <is>
          <t>Q1</t>
        </is>
      </c>
      <c r="S3" s="277" t="inlineStr">
        <is>
          <t>Q2</t>
        </is>
      </c>
      <c r="T3" s="277" t="inlineStr">
        <is>
          <t>Q3</t>
        </is>
      </c>
      <c r="U3" s="277" t="inlineStr">
        <is>
          <t>Q4</t>
        </is>
      </c>
      <c r="V3" s="277" t="inlineStr">
        <is>
          <t>Q1</t>
        </is>
      </c>
      <c r="W3" s="277" t="inlineStr">
        <is>
          <t>Q2</t>
        </is>
      </c>
      <c r="X3" s="277" t="inlineStr">
        <is>
          <t>Q3</t>
        </is>
      </c>
      <c r="Y3" s="277" t="inlineStr">
        <is>
          <t>Q4</t>
        </is>
      </c>
      <c r="Z3" s="277" t="inlineStr">
        <is>
          <t>Q1</t>
        </is>
      </c>
      <c r="AA3" s="277" t="inlineStr">
        <is>
          <t>Q2</t>
        </is>
      </c>
      <c r="AB3" s="277" t="inlineStr">
        <is>
          <t>Q3</t>
        </is>
      </c>
      <c r="AC3" s="277" t="inlineStr">
        <is>
          <t>Q4</t>
        </is>
      </c>
    </row>
    <row r="4" ht="14.25" customHeight="1" s="160">
      <c r="A4" s="278" t="n"/>
      <c r="B4" s="279" t="inlineStr">
        <is>
          <t>A. INPUT METRICS (from P&amp;L)</t>
        </is>
      </c>
      <c r="C4" s="278" t="n"/>
      <c r="D4" s="278" t="n"/>
      <c r="E4" s="278" t="n"/>
      <c r="F4" s="278" t="n"/>
      <c r="G4" s="278" t="n"/>
      <c r="H4" s="278" t="n"/>
      <c r="I4" s="278" t="n"/>
      <c r="J4" s="278" t="n"/>
      <c r="K4" s="278" t="n"/>
      <c r="L4" s="278" t="n"/>
      <c r="M4" s="278" t="n"/>
      <c r="N4" s="278" t="n"/>
      <c r="O4" s="278" t="n"/>
      <c r="P4" s="278" t="n"/>
      <c r="Q4" s="278" t="n"/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</row>
    <row r="5" ht="15" customHeight="1" s="160">
      <c r="B5" s="173" t="inlineStr">
        <is>
          <t>S&amp;M Spend</t>
        </is>
      </c>
      <c r="C5" s="159" t="inlineStr">
        <is>
          <t>€</t>
        </is>
      </c>
      <c r="E5" s="250">
        <f>2_Projections!E79</f>
        <v/>
      </c>
      <c r="F5" s="250">
        <f>2_Projections!F79</f>
        <v/>
      </c>
      <c r="G5" s="250">
        <f>2_Projections!G79</f>
        <v/>
      </c>
      <c r="H5" s="250">
        <f>2_Projections!H79</f>
        <v/>
      </c>
      <c r="I5" s="250">
        <f>2_Projections!I79</f>
        <v/>
      </c>
      <c r="J5" s="250">
        <f>2_Projections!J79</f>
        <v/>
      </c>
      <c r="K5" s="250">
        <f>2_Projections!K79</f>
        <v/>
      </c>
      <c r="L5" s="250">
        <f>2_Projections!L79</f>
        <v/>
      </c>
      <c r="M5" s="250">
        <f>2_Projections!M79</f>
        <v/>
      </c>
      <c r="N5" s="250">
        <f>2_Projections!N79</f>
        <v/>
      </c>
      <c r="O5" s="250">
        <f>2_Projections!O79</f>
        <v/>
      </c>
      <c r="P5" s="250">
        <f>2_Projections!P79</f>
        <v/>
      </c>
      <c r="Q5" s="250">
        <f>2_Projections!Q79</f>
        <v/>
      </c>
      <c r="R5" s="250">
        <f>2_Projections!R79</f>
        <v/>
      </c>
      <c r="S5" s="250">
        <f>2_Projections!S79</f>
        <v/>
      </c>
      <c r="T5" s="250">
        <f>2_Projections!T79</f>
        <v/>
      </c>
      <c r="U5" s="250">
        <f>2_Projections!U79</f>
        <v/>
      </c>
      <c r="V5" s="250">
        <f>2_Projections!V79</f>
        <v/>
      </c>
      <c r="W5" s="250">
        <f>2_Projections!W79</f>
        <v/>
      </c>
      <c r="X5" s="250">
        <f>2_Projections!X79</f>
        <v/>
      </c>
      <c r="Y5" s="250">
        <f>2_Projections!Y79</f>
        <v/>
      </c>
      <c r="Z5" s="250">
        <f>2_Projections!Z79</f>
        <v/>
      </c>
      <c r="AA5" s="250">
        <f>2_Projections!AA79</f>
        <v/>
      </c>
      <c r="AB5" s="250">
        <f>2_Projections!AB79</f>
        <v/>
      </c>
      <c r="AC5" s="250">
        <f>2_Projections!AC79</f>
        <v/>
      </c>
    </row>
    <row r="6" ht="15" customHeight="1" s="160">
      <c r="A6" s="181" t="n"/>
      <c r="B6" s="182" t="inlineStr">
        <is>
          <t>New Logos (net new)</t>
        </is>
      </c>
      <c r="C6" s="183" t="inlineStr">
        <is>
          <t>#</t>
        </is>
      </c>
      <c r="D6" s="181" t="n"/>
      <c r="E6" s="242">
        <f>2_Projections!E21</f>
        <v/>
      </c>
      <c r="F6" s="242">
        <f>2_Projections!F21</f>
        <v/>
      </c>
      <c r="G6" s="242">
        <f>2_Projections!G21</f>
        <v/>
      </c>
      <c r="H6" s="242">
        <f>2_Projections!H21</f>
        <v/>
      </c>
      <c r="I6" s="242">
        <f>2_Projections!I21</f>
        <v/>
      </c>
      <c r="J6" s="242">
        <f>2_Projections!J21</f>
        <v/>
      </c>
      <c r="K6" s="242">
        <f>2_Projections!K21</f>
        <v/>
      </c>
      <c r="L6" s="242">
        <f>2_Projections!L21</f>
        <v/>
      </c>
      <c r="M6" s="242">
        <f>2_Projections!M21</f>
        <v/>
      </c>
      <c r="N6" s="242">
        <f>2_Projections!N21</f>
        <v/>
      </c>
      <c r="O6" s="242">
        <f>2_Projections!O21</f>
        <v/>
      </c>
      <c r="P6" s="242">
        <f>2_Projections!P21</f>
        <v/>
      </c>
      <c r="Q6" s="242">
        <f>2_Projections!Q21</f>
        <v/>
      </c>
      <c r="R6" s="242">
        <f>2_Projections!R21</f>
        <v/>
      </c>
      <c r="S6" s="242">
        <f>2_Projections!S21</f>
        <v/>
      </c>
      <c r="T6" s="242">
        <f>2_Projections!T21</f>
        <v/>
      </c>
      <c r="U6" s="242">
        <f>2_Projections!U21</f>
        <v/>
      </c>
      <c r="V6" s="242">
        <f>2_Projections!V21</f>
        <v/>
      </c>
      <c r="W6" s="242">
        <f>2_Projections!W21</f>
        <v/>
      </c>
      <c r="X6" s="242">
        <f>2_Projections!X21</f>
        <v/>
      </c>
      <c r="Y6" s="242">
        <f>2_Projections!Y21</f>
        <v/>
      </c>
      <c r="Z6" s="242">
        <f>2_Projections!Z21</f>
        <v/>
      </c>
      <c r="AA6" s="242">
        <f>2_Projections!AA21</f>
        <v/>
      </c>
      <c r="AB6" s="242">
        <f>2_Projections!AB21</f>
        <v/>
      </c>
      <c r="AC6" s="242">
        <f>2_Projections!AC21</f>
        <v/>
      </c>
    </row>
    <row r="7" ht="15" customHeight="1" s="160">
      <c r="A7" s="176" t="n"/>
      <c r="B7" s="177" t="inlineStr">
        <is>
          <t>Installed Base (total logos)</t>
        </is>
      </c>
      <c r="C7" s="178" t="inlineStr">
        <is>
          <t>#</t>
        </is>
      </c>
      <c r="D7" s="176" t="n"/>
      <c r="E7" s="177">
        <f>2_Projections!E27</f>
        <v/>
      </c>
      <c r="F7" s="177">
        <f>2_Projections!F27</f>
        <v/>
      </c>
      <c r="G7" s="177">
        <f>2_Projections!G27</f>
        <v/>
      </c>
      <c r="H7" s="177">
        <f>2_Projections!H27</f>
        <v/>
      </c>
      <c r="I7" s="177">
        <f>2_Projections!I27</f>
        <v/>
      </c>
      <c r="J7" s="177">
        <f>2_Projections!J27</f>
        <v/>
      </c>
      <c r="K7" s="177">
        <f>2_Projections!K27</f>
        <v/>
      </c>
      <c r="L7" s="177">
        <f>2_Projections!L27</f>
        <v/>
      </c>
      <c r="M7" s="177">
        <f>2_Projections!M27</f>
        <v/>
      </c>
      <c r="N7" s="177">
        <f>2_Projections!N27</f>
        <v/>
      </c>
      <c r="O7" s="177">
        <f>2_Projections!O27</f>
        <v/>
      </c>
      <c r="P7" s="177">
        <f>2_Projections!P27</f>
        <v/>
      </c>
      <c r="Q7" s="177">
        <f>2_Projections!Q27</f>
        <v/>
      </c>
      <c r="R7" s="177">
        <f>2_Projections!R27</f>
        <v/>
      </c>
      <c r="S7" s="177">
        <f>2_Projections!S27</f>
        <v/>
      </c>
      <c r="T7" s="177">
        <f>2_Projections!T27</f>
        <v/>
      </c>
      <c r="U7" s="177">
        <f>2_Projections!U27</f>
        <v/>
      </c>
      <c r="V7" s="177">
        <f>2_Projections!V27</f>
        <v/>
      </c>
      <c r="W7" s="177">
        <f>2_Projections!W27</f>
        <v/>
      </c>
      <c r="X7" s="177">
        <f>2_Projections!X27</f>
        <v/>
      </c>
      <c r="Y7" s="177">
        <f>2_Projections!Y27</f>
        <v/>
      </c>
      <c r="Z7" s="177">
        <f>2_Projections!Z27</f>
        <v/>
      </c>
      <c r="AA7" s="177">
        <f>2_Projections!AA27</f>
        <v/>
      </c>
      <c r="AB7" s="177">
        <f>2_Projections!AB27</f>
        <v/>
      </c>
      <c r="AC7" s="177">
        <f>2_Projections!AC27</f>
        <v/>
      </c>
    </row>
    <row r="8" ht="15" customHeight="1" s="160">
      <c r="A8" s="181" t="n"/>
      <c r="B8" s="182" t="inlineStr">
        <is>
          <t>Recurring Revenue (Sub + Credit)</t>
        </is>
      </c>
      <c r="C8" s="183" t="inlineStr">
        <is>
          <t>€</t>
        </is>
      </c>
      <c r="D8" s="181" t="n"/>
      <c r="E8" s="242">
        <f>2_Projections!E50+2_Projections!E56</f>
        <v/>
      </c>
      <c r="F8" s="242">
        <f>2_Projections!F50+2_Projections!F56</f>
        <v/>
      </c>
      <c r="G8" s="242">
        <f>2_Projections!G50+2_Projections!G56</f>
        <v/>
      </c>
      <c r="H8" s="242">
        <f>2_Projections!H50+2_Projections!H56</f>
        <v/>
      </c>
      <c r="I8" s="242">
        <f>2_Projections!I50+2_Projections!I56</f>
        <v/>
      </c>
      <c r="J8" s="242">
        <f>2_Projections!J50+2_Projections!J56</f>
        <v/>
      </c>
      <c r="K8" s="242">
        <f>2_Projections!K50+2_Projections!K56</f>
        <v/>
      </c>
      <c r="L8" s="242">
        <f>2_Projections!L50+2_Projections!L56</f>
        <v/>
      </c>
      <c r="M8" s="242">
        <f>2_Projections!M50+2_Projections!M56</f>
        <v/>
      </c>
      <c r="N8" s="242">
        <f>2_Projections!N50+2_Projections!N56</f>
        <v/>
      </c>
      <c r="O8" s="242">
        <f>2_Projections!O50+2_Projections!O56</f>
        <v/>
      </c>
      <c r="P8" s="242">
        <f>2_Projections!P50+2_Projections!P56</f>
        <v/>
      </c>
      <c r="Q8" s="242">
        <f>2_Projections!Q50+2_Projections!Q56</f>
        <v/>
      </c>
      <c r="R8" s="242">
        <f>2_Projections!R50+2_Projections!R56</f>
        <v/>
      </c>
      <c r="S8" s="242">
        <f>2_Projections!S50+2_Projections!S56</f>
        <v/>
      </c>
      <c r="T8" s="242">
        <f>2_Projections!T50+2_Projections!T56</f>
        <v/>
      </c>
      <c r="U8" s="242">
        <f>2_Projections!U50+2_Projections!U56</f>
        <v/>
      </c>
      <c r="V8" s="242">
        <f>2_Projections!V50+2_Projections!V56</f>
        <v/>
      </c>
      <c r="W8" s="242">
        <f>2_Projections!W50+2_Projections!W56</f>
        <v/>
      </c>
      <c r="X8" s="242">
        <f>2_Projections!X50+2_Projections!X56</f>
        <v/>
      </c>
      <c r="Y8" s="242">
        <f>2_Projections!Y50+2_Projections!Y56</f>
        <v/>
      </c>
      <c r="Z8" s="242">
        <f>2_Projections!Z50+2_Projections!Z56</f>
        <v/>
      </c>
      <c r="AA8" s="242">
        <f>2_Projections!AA50+2_Projections!AA56</f>
        <v/>
      </c>
      <c r="AB8" s="242">
        <f>2_Projections!AB50+2_Projections!AB56</f>
        <v/>
      </c>
      <c r="AC8" s="242">
        <f>2_Projections!AC50+2_Projections!AC56</f>
        <v/>
      </c>
    </row>
    <row r="9" ht="14.25" customHeight="1" s="160">
      <c r="B9" s="159" t="inlineStr">
        <is>
          <t>Total Revenue</t>
        </is>
      </c>
      <c r="C9" s="159" t="inlineStr">
        <is>
          <t>€</t>
        </is>
      </c>
      <c r="E9" s="250">
        <f>2_Projections!E68</f>
        <v/>
      </c>
      <c r="F9" s="250">
        <f>2_Projections!F68</f>
        <v/>
      </c>
      <c r="G9" s="250">
        <f>2_Projections!G68</f>
        <v/>
      </c>
      <c r="H9" s="250">
        <f>2_Projections!H68</f>
        <v/>
      </c>
      <c r="I9" s="250">
        <f>2_Projections!I68</f>
        <v/>
      </c>
      <c r="J9" s="250">
        <f>2_Projections!J68</f>
        <v/>
      </c>
      <c r="K9" s="250">
        <f>2_Projections!K68</f>
        <v/>
      </c>
      <c r="L9" s="250">
        <f>2_Projections!L68</f>
        <v/>
      </c>
      <c r="M9" s="250">
        <f>2_Projections!M68</f>
        <v/>
      </c>
      <c r="N9" s="250">
        <f>2_Projections!N68</f>
        <v/>
      </c>
      <c r="O9" s="250">
        <f>2_Projections!O68</f>
        <v/>
      </c>
      <c r="P9" s="250">
        <f>2_Projections!P68</f>
        <v/>
      </c>
      <c r="Q9" s="250">
        <f>2_Projections!Q68</f>
        <v/>
      </c>
      <c r="R9" s="250">
        <f>2_Projections!R68</f>
        <v/>
      </c>
      <c r="S9" s="250">
        <f>2_Projections!S68</f>
        <v/>
      </c>
      <c r="T9" s="250">
        <f>2_Projections!T68</f>
        <v/>
      </c>
      <c r="U9" s="250">
        <f>2_Projections!U68</f>
        <v/>
      </c>
      <c r="V9" s="250">
        <f>2_Projections!V68</f>
        <v/>
      </c>
      <c r="W9" s="250">
        <f>2_Projections!W68</f>
        <v/>
      </c>
      <c r="X9" s="250">
        <f>2_Projections!X68</f>
        <v/>
      </c>
      <c r="Y9" s="250">
        <f>2_Projections!Y68</f>
        <v/>
      </c>
      <c r="Z9" s="250">
        <f>2_Projections!Z68</f>
        <v/>
      </c>
      <c r="AA9" s="250">
        <f>2_Projections!AA68</f>
        <v/>
      </c>
      <c r="AB9" s="250">
        <f>2_Projections!AB68</f>
        <v/>
      </c>
      <c r="AC9" s="250">
        <f>2_Projections!AC68</f>
        <v/>
      </c>
    </row>
    <row r="10" ht="15" customHeight="1" s="160">
      <c r="A10" s="187" t="n"/>
      <c r="B10" s="188" t="inlineStr">
        <is>
          <t>Gross Profit</t>
        </is>
      </c>
      <c r="C10" s="187" t="inlineStr">
        <is>
          <t>€</t>
        </is>
      </c>
      <c r="D10" s="187" t="n"/>
      <c r="E10" s="280">
        <f>2_Projections!E75</f>
        <v/>
      </c>
      <c r="F10" s="280">
        <f>2_Projections!F75</f>
        <v/>
      </c>
      <c r="G10" s="280">
        <f>2_Projections!G75</f>
        <v/>
      </c>
      <c r="H10" s="280">
        <f>2_Projections!H75</f>
        <v/>
      </c>
      <c r="I10" s="280">
        <f>2_Projections!I75</f>
        <v/>
      </c>
      <c r="J10" s="280">
        <f>2_Projections!J75</f>
        <v/>
      </c>
      <c r="K10" s="280">
        <f>2_Projections!K75</f>
        <v/>
      </c>
      <c r="L10" s="280">
        <f>2_Projections!L75</f>
        <v/>
      </c>
      <c r="M10" s="280">
        <f>2_Projections!M75</f>
        <v/>
      </c>
      <c r="N10" s="280">
        <f>2_Projections!N75</f>
        <v/>
      </c>
      <c r="O10" s="280">
        <f>2_Projections!O75</f>
        <v/>
      </c>
      <c r="P10" s="280">
        <f>2_Projections!P75</f>
        <v/>
      </c>
      <c r="Q10" s="280">
        <f>2_Projections!Q75</f>
        <v/>
      </c>
      <c r="R10" s="280">
        <f>2_Projections!R75</f>
        <v/>
      </c>
      <c r="S10" s="280">
        <f>2_Projections!S75</f>
        <v/>
      </c>
      <c r="T10" s="280">
        <f>2_Projections!T75</f>
        <v/>
      </c>
      <c r="U10" s="280">
        <f>2_Projections!U75</f>
        <v/>
      </c>
      <c r="V10" s="280">
        <f>2_Projections!V75</f>
        <v/>
      </c>
      <c r="W10" s="280">
        <f>2_Projections!W75</f>
        <v/>
      </c>
      <c r="X10" s="280">
        <f>2_Projections!X75</f>
        <v/>
      </c>
      <c r="Y10" s="280">
        <f>2_Projections!Y75</f>
        <v/>
      </c>
      <c r="Z10" s="280">
        <f>2_Projections!Z75</f>
        <v/>
      </c>
      <c r="AA10" s="280">
        <f>2_Projections!AA75</f>
        <v/>
      </c>
      <c r="AB10" s="280">
        <f>2_Projections!AB75</f>
        <v/>
      </c>
      <c r="AC10" s="280">
        <f>2_Projections!AC75</f>
        <v/>
      </c>
    </row>
    <row r="11" ht="15" customHeight="1" s="160">
      <c r="A11" s="181" t="n"/>
      <c r="B11" s="182" t="inlineStr">
        <is>
          <t>Gross Margin %</t>
        </is>
      </c>
      <c r="C11" s="183" t="inlineStr">
        <is>
          <t>%</t>
        </is>
      </c>
      <c r="D11" s="181" t="n"/>
      <c r="E11" s="242">
        <f>IFERROR(E10/E9,0)</f>
        <v/>
      </c>
      <c r="F11" s="242">
        <f>IFERROR(F10/F9,0)</f>
        <v/>
      </c>
      <c r="G11" s="252">
        <f>IFERROR(G10/G9,0)</f>
        <v/>
      </c>
      <c r="H11" s="242">
        <f>IFERROR(H10/H9,0)</f>
        <v/>
      </c>
      <c r="I11" s="242">
        <f>IFERROR(I10/I9,0)</f>
        <v/>
      </c>
      <c r="J11" s="242">
        <f>IFERROR(J10/J9,0)</f>
        <v/>
      </c>
      <c r="K11" s="242">
        <f>IFERROR(K10/K9,0)</f>
        <v/>
      </c>
      <c r="L11" s="242">
        <f>IFERROR(L10/L9,0)</f>
        <v/>
      </c>
      <c r="M11" s="242">
        <f>IFERROR(M10/M9,0)</f>
        <v/>
      </c>
      <c r="N11" s="242">
        <f>IFERROR(N10/N9,0)</f>
        <v/>
      </c>
      <c r="O11" s="242">
        <f>IFERROR(O10/O9,0)</f>
        <v/>
      </c>
      <c r="P11" s="242">
        <f>IFERROR(P10/P9,0)</f>
        <v/>
      </c>
      <c r="Q11" s="242">
        <f>IFERROR(Q10/Q9,0)</f>
        <v/>
      </c>
      <c r="R11" s="242">
        <f>IFERROR(R10/R9,0)</f>
        <v/>
      </c>
      <c r="S11" s="242">
        <f>IFERROR(S10/S9,0)</f>
        <v/>
      </c>
      <c r="T11" s="242">
        <f>IFERROR(T10/T9,0)</f>
        <v/>
      </c>
      <c r="U11" s="242">
        <f>IFERROR(U10/U9,0)</f>
        <v/>
      </c>
      <c r="V11" s="242">
        <f>IFERROR(V10/V9,0)</f>
        <v/>
      </c>
      <c r="W11" s="242">
        <f>IFERROR(W10/W9,0)</f>
        <v/>
      </c>
      <c r="X11" s="242">
        <f>IFERROR(X10/X9,0)</f>
        <v/>
      </c>
      <c r="Y11" s="242">
        <f>IFERROR(Y10/Y9,0)</f>
        <v/>
      </c>
      <c r="Z11" s="242">
        <f>IFERROR(Z10/Z9,0)</f>
        <v/>
      </c>
      <c r="AA11" s="242">
        <f>IFERROR(AA10/AA9,0)</f>
        <v/>
      </c>
      <c r="AB11" s="242">
        <f>IFERROR(AB10/AB9,0)</f>
        <v/>
      </c>
      <c r="AC11" s="242">
        <f>IFERROR(AC10/AC9,0)</f>
        <v/>
      </c>
    </row>
    <row r="12" ht="15" customHeight="1" s="160">
      <c r="A12" s="176" t="n"/>
      <c r="B12" s="177" t="inlineStr">
        <is>
          <t>EBITDA</t>
        </is>
      </c>
      <c r="C12" s="178" t="inlineStr">
        <is>
          <t>€</t>
        </is>
      </c>
      <c r="D12" s="176" t="n"/>
      <c r="E12" s="244">
        <f>2_Projections!E85</f>
        <v/>
      </c>
      <c r="F12" s="244">
        <f>2_Projections!F85</f>
        <v/>
      </c>
      <c r="G12" s="244">
        <f>2_Projections!G85</f>
        <v/>
      </c>
      <c r="H12" s="244">
        <f>2_Projections!H85</f>
        <v/>
      </c>
      <c r="I12" s="244">
        <f>2_Projections!I85</f>
        <v/>
      </c>
      <c r="J12" s="244">
        <f>2_Projections!J85</f>
        <v/>
      </c>
      <c r="K12" s="244">
        <f>2_Projections!K85</f>
        <v/>
      </c>
      <c r="L12" s="244">
        <f>2_Projections!L85</f>
        <v/>
      </c>
      <c r="M12" s="244">
        <f>2_Projections!M85</f>
        <v/>
      </c>
      <c r="N12" s="244">
        <f>2_Projections!N85</f>
        <v/>
      </c>
      <c r="O12" s="244">
        <f>2_Projections!O85</f>
        <v/>
      </c>
      <c r="P12" s="244">
        <f>2_Projections!P85</f>
        <v/>
      </c>
      <c r="Q12" s="244">
        <f>2_Projections!Q85</f>
        <v/>
      </c>
      <c r="R12" s="244">
        <f>2_Projections!R85</f>
        <v/>
      </c>
      <c r="S12" s="244">
        <f>2_Projections!S85</f>
        <v/>
      </c>
      <c r="T12" s="244">
        <f>2_Projections!T85</f>
        <v/>
      </c>
      <c r="U12" s="244">
        <f>2_Projections!U85</f>
        <v/>
      </c>
      <c r="V12" s="244">
        <f>2_Projections!V85</f>
        <v/>
      </c>
      <c r="W12" s="244">
        <f>2_Projections!W85</f>
        <v/>
      </c>
      <c r="X12" s="244">
        <f>2_Projections!X85</f>
        <v/>
      </c>
      <c r="Y12" s="244">
        <f>2_Projections!Y85</f>
        <v/>
      </c>
      <c r="Z12" s="244">
        <f>2_Projections!Z85</f>
        <v/>
      </c>
      <c r="AA12" s="244">
        <f>2_Projections!AA85</f>
        <v/>
      </c>
      <c r="AB12" s="244">
        <f>2_Projections!AB85</f>
        <v/>
      </c>
      <c r="AC12" s="244">
        <f>2_Projections!AC85</f>
        <v/>
      </c>
    </row>
    <row r="13" ht="15" customHeight="1" s="160">
      <c r="A13" s="181" t="n"/>
      <c r="B13" s="182" t="n"/>
      <c r="C13" s="183" t="n"/>
      <c r="D13" s="181" t="n"/>
      <c r="E13" s="242" t="n"/>
      <c r="F13" s="242" t="n"/>
      <c r="G13" s="252" t="n"/>
      <c r="H13" s="242" t="n"/>
      <c r="I13" s="242" t="n"/>
      <c r="J13" s="242" t="n"/>
      <c r="K13" s="242" t="n"/>
      <c r="L13" s="242" t="n"/>
      <c r="M13" s="242" t="n"/>
      <c r="N13" s="242" t="n"/>
      <c r="O13" s="242" t="n"/>
      <c r="P13" s="242" t="n"/>
      <c r="Q13" s="242" t="n"/>
      <c r="R13" s="242" t="n"/>
      <c r="S13" s="242" t="n"/>
      <c r="T13" s="242" t="n"/>
      <c r="U13" s="242" t="n"/>
      <c r="V13" s="242" t="n"/>
      <c r="W13" s="242" t="n"/>
      <c r="X13" s="242" t="n"/>
      <c r="Y13" s="242" t="n"/>
      <c r="Z13" s="242" t="n"/>
      <c r="AA13" s="242" t="n"/>
      <c r="AB13" s="242" t="n"/>
      <c r="AC13" s="242" t="n"/>
    </row>
    <row r="14" ht="15" customHeight="1" s="160">
      <c r="A14" s="187" t="n"/>
      <c r="B14" s="281" t="inlineStr">
        <is>
          <t>B. UNIT ECONOMICS</t>
        </is>
      </c>
      <c r="C14" s="282" t="n"/>
      <c r="D14" s="187" t="n"/>
      <c r="E14" s="283" t="n"/>
      <c r="F14" s="284" t="n"/>
      <c r="G14" s="285" t="n"/>
      <c r="H14" s="284" t="n"/>
      <c r="I14" s="284" t="n"/>
      <c r="J14" s="284" t="n"/>
      <c r="K14" s="284" t="n"/>
      <c r="L14" s="284" t="n"/>
      <c r="M14" s="284" t="n"/>
      <c r="N14" s="284" t="n"/>
      <c r="O14" s="284" t="n"/>
      <c r="P14" s="284" t="n"/>
      <c r="Q14" s="284" t="n"/>
      <c r="R14" s="284" t="n"/>
      <c r="S14" s="284" t="n"/>
      <c r="T14" s="284" t="n"/>
      <c r="U14" s="284" t="n"/>
      <c r="V14" s="284" t="n"/>
      <c r="W14" s="284" t="n"/>
      <c r="X14" s="284" t="n"/>
      <c r="Y14" s="284" t="n"/>
      <c r="Z14" s="284" t="n"/>
      <c r="AA14" s="284" t="n"/>
      <c r="AB14" s="284" t="n"/>
      <c r="AC14" s="284" t="n"/>
    </row>
    <row r="15" ht="14.25" customHeight="1" s="160">
      <c r="B15" s="159" t="inlineStr">
        <is>
          <t>Blended CAC (S&amp;M ÷ New Logos)</t>
        </is>
      </c>
      <c r="C15" s="159" t="inlineStr">
        <is>
          <t>€</t>
        </is>
      </c>
      <c r="E15" s="159">
        <f>IFERROR(E5/E6,"N/A")</f>
        <v/>
      </c>
      <c r="F15" s="159">
        <f>IFERROR(F5/F6,"N/A")</f>
        <v/>
      </c>
      <c r="G15" s="159">
        <f>IFERROR(G5/G6,"N/A")</f>
        <v/>
      </c>
      <c r="H15" s="159">
        <f>IFERROR(H5/H6,"N/A")</f>
        <v/>
      </c>
      <c r="I15" s="159">
        <f>IFERROR(I5/I6,"N/A")</f>
        <v/>
      </c>
      <c r="J15" s="159">
        <f>IFERROR(J5/J6,"N/A")</f>
        <v/>
      </c>
      <c r="K15" s="159">
        <f>IFERROR(K5/K6,"N/A")</f>
        <v/>
      </c>
      <c r="L15" s="159">
        <f>IFERROR(L5/L6,"N/A")</f>
        <v/>
      </c>
      <c r="M15" s="159">
        <f>IFERROR(M5/M6,"N/A")</f>
        <v/>
      </c>
      <c r="N15" s="159">
        <f>IFERROR(N5/N6,"N/A")</f>
        <v/>
      </c>
      <c r="O15" s="159">
        <f>IFERROR(O5/O6,"N/A")</f>
        <v/>
      </c>
      <c r="P15" s="159">
        <f>IFERROR(P5/P6,"N/A")</f>
        <v/>
      </c>
      <c r="Q15" s="159">
        <f>IFERROR(Q5/Q6,"N/A")</f>
        <v/>
      </c>
      <c r="R15" s="159">
        <f>IFERROR(R5/R6,"N/A")</f>
        <v/>
      </c>
      <c r="S15" s="159">
        <f>IFERROR(S5/S6,"N/A")</f>
        <v/>
      </c>
      <c r="T15" s="159">
        <f>IFERROR(T5/T6,"N/A")</f>
        <v/>
      </c>
      <c r="U15" s="159">
        <f>IFERROR(U5/U6,"N/A")</f>
        <v/>
      </c>
      <c r="V15" s="159">
        <f>IFERROR(V5/V6,"N/A")</f>
        <v/>
      </c>
      <c r="W15" s="159">
        <f>IFERROR(W5/W6,"N/A")</f>
        <v/>
      </c>
      <c r="X15" s="159">
        <f>IFERROR(X5/X6,"N/A")</f>
        <v/>
      </c>
      <c r="Y15" s="159">
        <f>IFERROR(Y5/Y6,"N/A")</f>
        <v/>
      </c>
      <c r="Z15" s="159">
        <f>IFERROR(Z5/Z6,"N/A")</f>
        <v/>
      </c>
      <c r="AA15" s="159">
        <f>IFERROR(AA5/AA6,"N/A")</f>
        <v/>
      </c>
      <c r="AB15" s="159">
        <f>IFERROR(AB5/AB6,"N/A")</f>
        <v/>
      </c>
      <c r="AC15" s="159">
        <f>IFERROR(AC5/AC6,"N/A")</f>
        <v/>
      </c>
    </row>
    <row r="16" ht="15" customHeight="1" s="160">
      <c r="A16" s="187" t="n"/>
      <c r="B16" s="188" t="inlineStr">
        <is>
          <t>Blended ARPU (annualized)</t>
        </is>
      </c>
      <c r="C16" s="187" t="inlineStr">
        <is>
          <t>€/yr</t>
        </is>
      </c>
      <c r="D16" s="187" t="n"/>
      <c r="E16" s="187">
        <f>IFERROR(E8*(12/1)/E7,0)</f>
        <v/>
      </c>
      <c r="F16" s="187">
        <f>IFERROR(F8*(12/1)/F7,0)</f>
        <v/>
      </c>
      <c r="G16" s="187">
        <f>IFERROR(G8*(12/1)/G7,0)</f>
        <v/>
      </c>
      <c r="H16" s="187">
        <f>IFERROR(H8*(12/1)/H7,0)</f>
        <v/>
      </c>
      <c r="I16" s="187">
        <f>IFERROR(I8*(12/1)/I7,0)</f>
        <v/>
      </c>
      <c r="J16" s="187">
        <f>IFERROR(J8*(12/1)/J7,0)</f>
        <v/>
      </c>
      <c r="K16" s="187">
        <f>IFERROR(K8*(12/1)/K7,0)</f>
        <v/>
      </c>
      <c r="L16" s="187">
        <f>IFERROR(L8*(12/1)/L7,0)</f>
        <v/>
      </c>
      <c r="M16" s="187">
        <f>IFERROR(M8*(12/1)/M7,0)</f>
        <v/>
      </c>
      <c r="N16" s="187">
        <f>IFERROR(N8*(12/3)/N7,0)</f>
        <v/>
      </c>
      <c r="O16" s="187">
        <f>IFERROR(O8*(12/3)/O7,0)</f>
        <v/>
      </c>
      <c r="P16" s="187">
        <f>IFERROR(P8*(12/3)/P7,0)</f>
        <v/>
      </c>
      <c r="Q16" s="187">
        <f>IFERROR(Q8*(12/3)/Q7,0)</f>
        <v/>
      </c>
      <c r="R16" s="187">
        <f>IFERROR(R8*(12/3)/R7,0)</f>
        <v/>
      </c>
      <c r="S16" s="187">
        <f>IFERROR(S8*(12/3)/S7,0)</f>
        <v/>
      </c>
      <c r="T16" s="187">
        <f>IFERROR(T8*(12/3)/T7,0)</f>
        <v/>
      </c>
      <c r="U16" s="187">
        <f>IFERROR(U8*(12/3)/U7,0)</f>
        <v/>
      </c>
      <c r="V16" s="187">
        <f>IFERROR(V8*(12/3)/V7,0)</f>
        <v/>
      </c>
      <c r="W16" s="187">
        <f>IFERROR(W8*(12/3)/W7,0)</f>
        <v/>
      </c>
      <c r="X16" s="187">
        <f>IFERROR(X8*(12/3)/X7,0)</f>
        <v/>
      </c>
      <c r="Y16" s="187">
        <f>IFERROR(Y8*(12/3)/Y7,0)</f>
        <v/>
      </c>
      <c r="Z16" s="187">
        <f>IFERROR(Z8*(12/3)/Z7,0)</f>
        <v/>
      </c>
      <c r="AA16" s="187">
        <f>IFERROR(AA8*(12/3)/AA7,0)</f>
        <v/>
      </c>
      <c r="AB16" s="187">
        <f>IFERROR(AB8*(12/3)/AB7,0)</f>
        <v/>
      </c>
      <c r="AC16" s="187">
        <f>IFERROR(AC8*(12/3)/AC7,0)</f>
        <v/>
      </c>
    </row>
    <row r="17" ht="15" customHeight="1" s="160">
      <c r="A17" s="181" t="n"/>
      <c r="B17" s="182" t="inlineStr">
        <is>
          <t>Blended Logo Churn (annualized, assumption-driven)</t>
        </is>
      </c>
      <c r="C17" s="183" t="inlineStr">
        <is>
          <t>%</t>
        </is>
      </c>
      <c r="D17" s="215" t="n"/>
      <c r="E17" s="198">
        <f>IFERROR((1-(1-(2_Projections!E24*1_Assumptions!$F$104+2_Projections!E25*1_Assumptions!$F$105+2_Projections!E26*1_Assumptions!$F$106)/MAX(2_Projections!E27,1))^12),0)</f>
        <v/>
      </c>
      <c r="F17" s="198">
        <f>IFERROR((1-(1-(2_Projections!F24*1_Assumptions!$F$104+2_Projections!F25*1_Assumptions!$F$105+2_Projections!F26*1_Assumptions!$F$106)/MAX(2_Projections!F27,1))^12),0)</f>
        <v/>
      </c>
      <c r="G17" s="198">
        <f>IFERROR((1-(1-(2_Projections!G24*1_Assumptions!$F$104+2_Projections!G25*1_Assumptions!$F$105+2_Projections!G26*1_Assumptions!$F$106)/MAX(2_Projections!G27,1))^12),0)</f>
        <v/>
      </c>
      <c r="H17" s="198">
        <f>IFERROR((1-(1-(2_Projections!H24*1_Assumptions!$F$104+2_Projections!H25*1_Assumptions!$F$105+2_Projections!H26*1_Assumptions!$F$106)/MAX(2_Projections!H27,1))^12),0)</f>
        <v/>
      </c>
      <c r="I17" s="198">
        <f>IFERROR((1-(1-(2_Projections!I24*1_Assumptions!$F$104+2_Projections!I25*1_Assumptions!$F$105+2_Projections!I26*1_Assumptions!$F$106)/MAX(2_Projections!I27,1))^12),0)</f>
        <v/>
      </c>
      <c r="J17" s="198">
        <f>IFERROR((1-(1-(2_Projections!J24*1_Assumptions!$F$104+2_Projections!J25*1_Assumptions!$F$105+2_Projections!J26*1_Assumptions!$F$106)/MAX(2_Projections!J27,1))^12),0)</f>
        <v/>
      </c>
      <c r="K17" s="198">
        <f>IFERROR((1-(1-(2_Projections!K24*1_Assumptions!$F$104+2_Projections!K25*1_Assumptions!$F$105+2_Projections!K26*1_Assumptions!$F$106)/MAX(2_Projections!K27,1))^12),0)</f>
        <v/>
      </c>
      <c r="L17" s="198">
        <f>IFERROR((1-(1-(2_Projections!L24*1_Assumptions!$F$104+2_Projections!L25*1_Assumptions!$F$105+2_Projections!L26*1_Assumptions!$F$106)/MAX(2_Projections!L27,1))^12),0)</f>
        <v/>
      </c>
      <c r="M17" s="198">
        <f>IFERROR((1-(1-(2_Projections!M24*1_Assumptions!$F$104+2_Projections!M25*1_Assumptions!$F$105+2_Projections!M26*1_Assumptions!$F$106)/MAX(2_Projections!M27,1))^12),0)</f>
        <v/>
      </c>
      <c r="N17" s="198">
        <f>IFERROR((1-(1-(2_Projections!N24*1_Assumptions!$F$104+2_Projections!N25*1_Assumptions!$F$105+2_Projections!N26*1_Assumptions!$F$106)/MAX(2_Projections!N27,1))^12),0)</f>
        <v/>
      </c>
      <c r="O17" s="198">
        <f>IFERROR((1-(1-(2_Projections!O24*1_Assumptions!$F$104+2_Projections!O25*1_Assumptions!$F$105+2_Projections!O26*1_Assumptions!$F$106)/MAX(2_Projections!O27,1))^12),0)</f>
        <v/>
      </c>
      <c r="P17" s="198">
        <f>IFERROR((1-(1-(2_Projections!P24*1_Assumptions!$F$104+2_Projections!P25*1_Assumptions!$F$105+2_Projections!P26*1_Assumptions!$F$106)/MAX(2_Projections!P27,1))^12),0)</f>
        <v/>
      </c>
      <c r="Q17" s="198">
        <f>IFERROR((1-(1-(2_Projections!Q24*1_Assumptions!$F$104+2_Projections!Q25*1_Assumptions!$F$105+2_Projections!Q26*1_Assumptions!$F$106)/MAX(2_Projections!Q27,1))^12),0)</f>
        <v/>
      </c>
      <c r="R17" s="198">
        <f>IFERROR((1-(1-(2_Projections!R24*1_Assumptions!$F$104+2_Projections!R25*1_Assumptions!$F$105+2_Projections!R26*1_Assumptions!$F$106)/MAX(2_Projections!R27,1))^12),0)</f>
        <v/>
      </c>
      <c r="S17" s="198">
        <f>IFERROR((1-(1-(2_Projections!S24*1_Assumptions!$F$104+2_Projections!S25*1_Assumptions!$F$105+2_Projections!S26*1_Assumptions!$F$106)/MAX(2_Projections!S27,1))^12),0)</f>
        <v/>
      </c>
      <c r="T17" s="198">
        <f>IFERROR((1-(1-(2_Projections!T24*1_Assumptions!$F$104+2_Projections!T25*1_Assumptions!$F$105+2_Projections!T26*1_Assumptions!$F$106)/MAX(2_Projections!T27,1))^12),0)</f>
        <v/>
      </c>
      <c r="U17" s="198">
        <f>IFERROR((1-(1-(2_Projections!U24*1_Assumptions!$F$104+2_Projections!U25*1_Assumptions!$F$105+2_Projections!U26*1_Assumptions!$F$106)/MAX(2_Projections!U27,1))^12),0)</f>
        <v/>
      </c>
      <c r="V17" s="198">
        <f>IFERROR((1-(1-(2_Projections!V24*1_Assumptions!$F$104+2_Projections!V25*1_Assumptions!$F$105+2_Projections!V26*1_Assumptions!$F$106)/MAX(2_Projections!V27,1))^12),0)</f>
        <v/>
      </c>
      <c r="W17" s="198">
        <f>IFERROR((1-(1-(2_Projections!W24*1_Assumptions!$F$104+2_Projections!W25*1_Assumptions!$F$105+2_Projections!W26*1_Assumptions!$F$106)/MAX(2_Projections!W27,1))^12),0)</f>
        <v/>
      </c>
      <c r="X17" s="198">
        <f>IFERROR((1-(1-(2_Projections!X24*1_Assumptions!$F$104+2_Projections!X25*1_Assumptions!$F$105+2_Projections!X26*1_Assumptions!$F$106)/MAX(2_Projections!X27,1))^12),0)</f>
        <v/>
      </c>
      <c r="Y17" s="198">
        <f>IFERROR((1-(1-(2_Projections!Y24*1_Assumptions!$F$104+2_Projections!Y25*1_Assumptions!$F$105+2_Projections!Y26*1_Assumptions!$F$106)/MAX(2_Projections!Y27,1))^12),0)</f>
        <v/>
      </c>
      <c r="Z17" s="198">
        <f>IFERROR((1-(1-(2_Projections!Z24*1_Assumptions!$F$104+2_Projections!Z25*1_Assumptions!$F$105+2_Projections!Z26*1_Assumptions!$F$106)/MAX(2_Projections!Z27,1))^12),0)</f>
        <v/>
      </c>
      <c r="AA17" s="198">
        <f>IFERROR((1-(1-(2_Projections!AA24*1_Assumptions!$F$104+2_Projections!AA25*1_Assumptions!$F$105+2_Projections!AA26*1_Assumptions!$F$106)/MAX(2_Projections!AA27,1))^12),0)</f>
        <v/>
      </c>
      <c r="AB17" s="198">
        <f>IFERROR((1-(1-(2_Projections!AB24*1_Assumptions!$F$104+2_Projections!AB25*1_Assumptions!$F$105+2_Projections!AB26*1_Assumptions!$F$106)/MAX(2_Projections!AB27,1))^12),0)</f>
        <v/>
      </c>
      <c r="AC17" s="198">
        <f>IFERROR((1-(1-(2_Projections!AC24*1_Assumptions!$F$104+2_Projections!AC25*1_Assumptions!$F$105+2_Projections!AC26*1_Assumptions!$F$106)/MAX(2_Projections!AC27,1))^12),0)</f>
        <v/>
      </c>
    </row>
    <row r="18" ht="15" customHeight="1" s="160">
      <c r="A18" s="176" t="n"/>
      <c r="B18" s="177" t="inlineStr">
        <is>
          <t>LTV (ARPU × GM% ÷ Annual Churn)</t>
        </is>
      </c>
      <c r="C18" s="178" t="inlineStr">
        <is>
          <t>€</t>
        </is>
      </c>
      <c r="D18" s="176" t="n"/>
      <c r="E18" s="176">
        <f>IFERROR(E16*E11/MAX(E17,0.05),0)</f>
        <v/>
      </c>
      <c r="F18" s="202">
        <f>IFERROR(F16*F11/MAX(F17,0.05),0)</f>
        <v/>
      </c>
      <c r="G18" s="286">
        <f>IFERROR(G16*G11/MAX(G17,0.05),0)</f>
        <v/>
      </c>
      <c r="H18" s="202">
        <f>IFERROR(H16*H11/MAX(H17,0.05),0)</f>
        <v/>
      </c>
      <c r="I18" s="202">
        <f>IFERROR(I16*I11/MAX(I17,0.05),0)</f>
        <v/>
      </c>
      <c r="J18" s="202">
        <f>IFERROR(J16*J11/MAX(J17,0.05),0)</f>
        <v/>
      </c>
      <c r="K18" s="202">
        <f>IFERROR(K16*K11/MAX(K17,0.05),0)</f>
        <v/>
      </c>
      <c r="L18" s="202">
        <f>IFERROR(L16*L11/MAX(L17,0.05),0)</f>
        <v/>
      </c>
      <c r="M18" s="202">
        <f>IFERROR(M16*M11/MAX(M17,0.05),0)</f>
        <v/>
      </c>
      <c r="N18" s="202">
        <f>IFERROR(N16*N11/MAX(N17,0.05),0)</f>
        <v/>
      </c>
      <c r="O18" s="202">
        <f>IFERROR(O16*O11/MAX(O17,0.05),0)</f>
        <v/>
      </c>
      <c r="P18" s="202">
        <f>IFERROR(P16*P11/MAX(P17,0.05),0)</f>
        <v/>
      </c>
      <c r="Q18" s="202">
        <f>IFERROR(Q16*Q11/MAX(Q17,0.05),0)</f>
        <v/>
      </c>
      <c r="R18" s="202">
        <f>IFERROR(R16*R11/MAX(R17,0.05),0)</f>
        <v/>
      </c>
      <c r="S18" s="202">
        <f>IFERROR(S16*S11/MAX(S17,0.05),0)</f>
        <v/>
      </c>
      <c r="T18" s="202">
        <f>IFERROR(T16*T11/MAX(T17,0.05),0)</f>
        <v/>
      </c>
      <c r="U18" s="202">
        <f>IFERROR(U16*U11/MAX(U17,0.05),0)</f>
        <v/>
      </c>
      <c r="V18" s="202">
        <f>IFERROR(V16*V11/MAX(V17,0.05),0)</f>
        <v/>
      </c>
      <c r="W18" s="202">
        <f>IFERROR(W16*W11/MAX(W17,0.05),0)</f>
        <v/>
      </c>
      <c r="X18" s="202">
        <f>IFERROR(X16*X11/MAX(X17,0.05),0)</f>
        <v/>
      </c>
      <c r="Y18" s="202">
        <f>IFERROR(Y16*Y11/MAX(Y17,0.05),0)</f>
        <v/>
      </c>
      <c r="Z18" s="202">
        <f>IFERROR(Z16*Z11/MAX(Z17,0.05),0)</f>
        <v/>
      </c>
      <c r="AA18" s="202">
        <f>IFERROR(AA16*AA11/MAX(AA17,0.05),0)</f>
        <v/>
      </c>
      <c r="AB18" s="202">
        <f>IFERROR(AB16*AB11/MAX(AB17,0.05),0)</f>
        <v/>
      </c>
      <c r="AC18" s="202">
        <f>IFERROR(AC16*AC11/MAX(AC17,0.05),0)</f>
        <v/>
      </c>
      <c r="AD18" s="202" t="n"/>
      <c r="AE18" s="202" t="n"/>
      <c r="AF18" s="202" t="n"/>
      <c r="AG18" s="202" t="n"/>
      <c r="AH18" s="202" t="n"/>
      <c r="AI18" s="202" t="n"/>
      <c r="AJ18" s="202" t="n"/>
      <c r="AK18" s="202" t="n"/>
      <c r="AL18" s="202" t="n"/>
      <c r="AM18" s="202" t="n"/>
      <c r="AN18" s="202" t="n"/>
      <c r="AO18" s="202" t="n"/>
      <c r="AP18" s="202" t="n"/>
      <c r="AQ18" s="202" t="n"/>
      <c r="AR18" s="202" t="n"/>
      <c r="AS18" s="202" t="n"/>
      <c r="AT18" s="202" t="n"/>
      <c r="AU18" s="202" t="n"/>
      <c r="AV18" s="202" t="n"/>
      <c r="AW18" s="202" t="n"/>
      <c r="AX18" s="202" t="n"/>
      <c r="AY18" s="202" t="n"/>
    </row>
    <row r="19" ht="15" customHeight="1" s="160">
      <c r="A19" s="181" t="n"/>
      <c r="B19" s="182" t="inlineStr">
        <is>
          <t>LTV / CAC (target: 3-5x)</t>
        </is>
      </c>
      <c r="C19" s="183" t="inlineStr">
        <is>
          <t>x</t>
        </is>
      </c>
      <c r="D19" s="215" t="n"/>
      <c r="E19" s="215">
        <f>IFERROR(E18/E15,0)</f>
        <v/>
      </c>
      <c r="F19" s="287">
        <f>IFERROR(F18/F15,0)</f>
        <v/>
      </c>
      <c r="G19" s="287">
        <f>IFERROR(G18/G15,0)</f>
        <v/>
      </c>
      <c r="H19" s="287">
        <f>IFERROR(H18/H15,0)</f>
        <v/>
      </c>
      <c r="I19" s="287">
        <f>IFERROR(I18/I15,0)</f>
        <v/>
      </c>
      <c r="J19" s="287">
        <f>IFERROR(J18/J15,0)</f>
        <v/>
      </c>
      <c r="K19" s="287">
        <f>IFERROR(K18/K15,0)</f>
        <v/>
      </c>
      <c r="L19" s="287">
        <f>IFERROR(L18/L15,0)</f>
        <v/>
      </c>
      <c r="M19" s="287">
        <f>IFERROR(M18/M15,0)</f>
        <v/>
      </c>
      <c r="N19" s="287">
        <f>IFERROR(N18/N15,0)</f>
        <v/>
      </c>
      <c r="O19" s="287">
        <f>IFERROR(O18/O15,0)</f>
        <v/>
      </c>
      <c r="P19" s="287">
        <f>IFERROR(P18/P15,0)</f>
        <v/>
      </c>
      <c r="Q19" s="287">
        <f>IFERROR(Q18/Q15,0)</f>
        <v/>
      </c>
      <c r="R19" s="287">
        <f>IFERROR(R18/R15,0)</f>
        <v/>
      </c>
      <c r="S19" s="287">
        <f>IFERROR(S18/S15,0)</f>
        <v/>
      </c>
      <c r="T19" s="287">
        <f>IFERROR(T18/T15,0)</f>
        <v/>
      </c>
      <c r="U19" s="287">
        <f>IFERROR(U18/U15,0)</f>
        <v/>
      </c>
      <c r="V19" s="287">
        <f>IFERROR(V18/V15,0)</f>
        <v/>
      </c>
      <c r="W19" s="287">
        <f>IFERROR(W18/W15,0)</f>
        <v/>
      </c>
      <c r="X19" s="287">
        <f>IFERROR(X18/X15,0)</f>
        <v/>
      </c>
      <c r="Y19" s="287">
        <f>IFERROR(Y18/Y15,0)</f>
        <v/>
      </c>
      <c r="Z19" s="287">
        <f>IFERROR(Z18/Z15,0)</f>
        <v/>
      </c>
      <c r="AA19" s="287">
        <f>IFERROR(AA18/AA15,0)</f>
        <v/>
      </c>
      <c r="AB19" s="287">
        <f>IFERROR(AB18/AB15,0)</f>
        <v/>
      </c>
      <c r="AC19" s="287">
        <f>IFERROR(AC18/AC15,0)</f>
        <v/>
      </c>
    </row>
    <row r="20" ht="15" customHeight="1" s="160">
      <c r="A20" s="176" t="n"/>
      <c r="B20" s="177" t="inlineStr">
        <is>
          <t>CAC Payback (months)</t>
        </is>
      </c>
      <c r="C20" s="178" t="inlineStr">
        <is>
          <t>mo</t>
        </is>
      </c>
      <c r="D20" s="176" t="n"/>
      <c r="E20" s="258">
        <f>IFERROR(E15/(E16*E11/12),0)</f>
        <v/>
      </c>
      <c r="F20" s="258">
        <f>IFERROR(F15/(F16*F11/12),0)</f>
        <v/>
      </c>
      <c r="G20" s="258">
        <f>IFERROR(G15/(G16*G11/12),0)</f>
        <v/>
      </c>
      <c r="H20" s="258">
        <f>IFERROR(H15/(H16*H11/12),0)</f>
        <v/>
      </c>
      <c r="I20" s="258">
        <f>IFERROR(I15/(I16*I11/12),0)</f>
        <v/>
      </c>
      <c r="J20" s="258">
        <f>IFERROR(J15/(J16*J11/12),0)</f>
        <v/>
      </c>
      <c r="K20" s="258">
        <f>IFERROR(K15/(K16*K11/12),0)</f>
        <v/>
      </c>
      <c r="L20" s="258">
        <f>IFERROR(L15/(L16*L11/12),0)</f>
        <v/>
      </c>
      <c r="M20" s="258">
        <f>IFERROR(M15/(M16*M11/12),0)</f>
        <v/>
      </c>
      <c r="N20" s="258">
        <f>IFERROR(N15/(N16*N11/12),0)</f>
        <v/>
      </c>
      <c r="O20" s="258">
        <f>IFERROR(O15/(O16*O11/12),0)</f>
        <v/>
      </c>
      <c r="P20" s="258">
        <f>IFERROR(P15/(P16*P11/12),0)</f>
        <v/>
      </c>
      <c r="Q20" s="258">
        <f>IFERROR(Q15/(Q16*Q11/12),0)</f>
        <v/>
      </c>
      <c r="R20" s="258">
        <f>IFERROR(R15/(R16*R11/12),0)</f>
        <v/>
      </c>
      <c r="S20" s="258">
        <f>IFERROR(S15/(S16*S11/12),0)</f>
        <v/>
      </c>
      <c r="T20" s="258">
        <f>IFERROR(T15/(T16*T11/12),0)</f>
        <v/>
      </c>
      <c r="U20" s="258">
        <f>IFERROR(U15/(U16*U11/12),0)</f>
        <v/>
      </c>
      <c r="V20" s="258">
        <f>IFERROR(V15/(V16*V11/12),0)</f>
        <v/>
      </c>
      <c r="W20" s="258">
        <f>IFERROR(W15/(W16*W11/12),0)</f>
        <v/>
      </c>
      <c r="X20" s="258">
        <f>IFERROR(X15/(X16*X11/12),0)</f>
        <v/>
      </c>
      <c r="Y20" s="258">
        <f>IFERROR(Y15/(Y16*Y11/12),0)</f>
        <v/>
      </c>
      <c r="Z20" s="258">
        <f>IFERROR(Z15/(Z16*Z11/12),0)</f>
        <v/>
      </c>
      <c r="AA20" s="258">
        <f>IFERROR(AA15/(AA16*AA11/12),0)</f>
        <v/>
      </c>
      <c r="AB20" s="258">
        <f>IFERROR(AB15/(AB16*AB11/12),0)</f>
        <v/>
      </c>
      <c r="AC20" s="258">
        <f>IFERROR(AC15/(AC16*AC11/12),0)</f>
        <v/>
      </c>
    </row>
    <row r="21" ht="15" customHeight="1" s="160">
      <c r="A21" s="181" t="n"/>
      <c r="B21" s="182" t="n"/>
      <c r="C21" s="183" t="n"/>
      <c r="D21" s="181" t="n"/>
      <c r="E21" s="288" t="n"/>
      <c r="F21" s="288" t="n"/>
      <c r="G21" s="289" t="n"/>
      <c r="H21" s="288" t="n"/>
      <c r="I21" s="288" t="n"/>
      <c r="J21" s="288" t="n"/>
      <c r="K21" s="288" t="n"/>
      <c r="L21" s="288" t="n"/>
      <c r="M21" s="288" t="n"/>
      <c r="N21" s="288" t="n"/>
      <c r="O21" s="288" t="n"/>
      <c r="P21" s="288" t="n"/>
      <c r="Q21" s="288" t="n"/>
      <c r="R21" s="288" t="n"/>
      <c r="S21" s="288" t="n"/>
      <c r="T21" s="288" t="n"/>
      <c r="U21" s="288" t="n"/>
      <c r="V21" s="288" t="n"/>
      <c r="W21" s="288" t="n"/>
      <c r="X21" s="288" t="n"/>
      <c r="Y21" s="288" t="n"/>
      <c r="Z21" s="288" t="n"/>
      <c r="AA21" s="288" t="n"/>
      <c r="AB21" s="288" t="n"/>
      <c r="AC21" s="288" t="n"/>
    </row>
    <row r="22" ht="14.25" customHeight="1" s="160">
      <c r="A22" s="278" t="n"/>
      <c r="B22" s="279" t="inlineStr">
        <is>
          <t>C. EFFICIENCY METRICS</t>
        </is>
      </c>
      <c r="C22" s="278" t="n"/>
      <c r="D22" s="278" t="n"/>
      <c r="E22" s="278" t="n"/>
      <c r="F22" s="278" t="n"/>
      <c r="G22" s="278" t="n"/>
      <c r="H22" s="278" t="n"/>
      <c r="I22" s="278" t="n"/>
      <c r="J22" s="278" t="n"/>
      <c r="K22" s="278" t="n"/>
      <c r="L22" s="278" t="n"/>
      <c r="M22" s="278" t="n"/>
      <c r="N22" s="278" t="n"/>
      <c r="O22" s="278" t="n"/>
      <c r="P22" s="278" t="n"/>
      <c r="Q22" s="278" t="n"/>
      <c r="R22" s="278" t="n"/>
      <c r="S22" s="278" t="n"/>
      <c r="T22" s="278" t="n"/>
      <c r="U22" s="278" t="n"/>
      <c r="V22" s="278" t="n"/>
      <c r="W22" s="278" t="n"/>
      <c r="X22" s="278" t="n"/>
      <c r="Y22" s="278" t="n"/>
      <c r="Z22" s="278" t="n"/>
      <c r="AA22" s="278" t="n"/>
      <c r="AB22" s="278" t="n"/>
      <c r="AC22" s="278" t="n"/>
    </row>
    <row r="23" ht="15" customHeight="1" s="160">
      <c r="A23" s="187" t="n"/>
      <c r="B23" s="188" t="inlineStr">
        <is>
          <t>Burn Multiple (Net Burn ÷ Net New ARR)</t>
        </is>
      </c>
      <c r="C23" s="187" t="inlineStr">
        <is>
          <t>x</t>
        </is>
      </c>
      <c r="D23" s="187" t="n"/>
      <c r="E23" s="187" t="n"/>
      <c r="F23" s="187">
        <f>IFERROR(IF(3_CashFlow!F26&lt;0,-3_CashFlow!F26/MAX(2_Projections!F66-2_Projections!E66,1),0),0)</f>
        <v/>
      </c>
      <c r="G23" s="187">
        <f>IFERROR(IF(3_CashFlow!G26&lt;0,-3_CashFlow!G26/MAX(2_Projections!G66-2_Projections!F66,1),0),0)</f>
        <v/>
      </c>
      <c r="H23" s="187">
        <f>IFERROR(IF(3_CashFlow!H26&lt;0,-3_CashFlow!H26/MAX(2_Projections!H66-2_Projections!G66,1),0),0)</f>
        <v/>
      </c>
      <c r="I23" s="187">
        <f>IFERROR(IF(3_CashFlow!I26&lt;0,-3_CashFlow!I26/MAX(2_Projections!I66-2_Projections!H66,1),0),0)</f>
        <v/>
      </c>
      <c r="J23" s="187">
        <f>IFERROR(IF(3_CashFlow!J26&lt;0,-3_CashFlow!J26/MAX(2_Projections!J66-2_Projections!I66,1),0),0)</f>
        <v/>
      </c>
      <c r="K23" s="187">
        <f>IFERROR(IF(3_CashFlow!K26&lt;0,-3_CashFlow!K26/MAX(2_Projections!K66-2_Projections!J66,1),0),0)</f>
        <v/>
      </c>
      <c r="L23" s="187">
        <f>IFERROR(IF(3_CashFlow!L26&lt;0,-3_CashFlow!L26/MAX(2_Projections!L66-2_Projections!K66,1),0),0)</f>
        <v/>
      </c>
      <c r="M23" s="187">
        <f>IFERROR(IF(3_CashFlow!M26&lt;0,-3_CashFlow!M26/MAX(2_Projections!M66-2_Projections!L66,1),0),0)</f>
        <v/>
      </c>
      <c r="N23" s="187">
        <f>IFERROR(IF(3_CashFlow!N26&lt;0,-3_CashFlow!N26/MAX(2_Projections!N66-2_Projections!M66,1),0),0)</f>
        <v/>
      </c>
      <c r="O23" s="187">
        <f>IFERROR(IF(3_CashFlow!O26&lt;0,-3_CashFlow!O26/MAX(2_Projections!O66-2_Projections!N66,1),0),0)</f>
        <v/>
      </c>
      <c r="P23" s="187">
        <f>IFERROR(IF(3_CashFlow!P26&lt;0,-3_CashFlow!P26/MAX(2_Projections!P66-2_Projections!O66,1),0),0)</f>
        <v/>
      </c>
      <c r="Q23" s="187">
        <f>IFERROR(IF(3_CashFlow!Q26&lt;0,-3_CashFlow!Q26/MAX(2_Projections!Q66-2_Projections!P66,1),0),0)</f>
        <v/>
      </c>
      <c r="R23" s="187">
        <f>IFERROR(IF(3_CashFlow!R26&lt;0,-3_CashFlow!R26/MAX(2_Projections!R66-2_Projections!Q66,1),0),0)</f>
        <v/>
      </c>
      <c r="S23" s="187">
        <f>IFERROR(IF(3_CashFlow!S26&lt;0,-3_CashFlow!S26/MAX(2_Projections!S66-2_Projections!R66,1),0),0)</f>
        <v/>
      </c>
      <c r="T23" s="187">
        <f>IFERROR(IF(3_CashFlow!T26&lt;0,-3_CashFlow!T26/MAX(2_Projections!T66-2_Projections!S66,1),0),0)</f>
        <v/>
      </c>
      <c r="U23" s="187">
        <f>IFERROR(IF(3_CashFlow!U26&lt;0,-3_CashFlow!U26/MAX(2_Projections!U66-2_Projections!T66,1),0),0)</f>
        <v/>
      </c>
      <c r="V23" s="187">
        <f>IFERROR(IF(3_CashFlow!V26&lt;0,-3_CashFlow!V26/MAX(2_Projections!V66-2_Projections!U66,1),0),0)</f>
        <v/>
      </c>
      <c r="W23" s="187">
        <f>IFERROR(IF(3_CashFlow!W26&lt;0,-3_CashFlow!W26/MAX(2_Projections!W66-2_Projections!V66,1),0),0)</f>
        <v/>
      </c>
      <c r="X23" s="187">
        <f>IFERROR(IF(3_CashFlow!X26&lt;0,-3_CashFlow!X26/MAX(2_Projections!X66-2_Projections!W66,1),0),0)</f>
        <v/>
      </c>
      <c r="Y23" s="187">
        <f>IFERROR(IF(3_CashFlow!Y26&lt;0,-3_CashFlow!Y26/MAX(2_Projections!Y66-2_Projections!X66,1),0),0)</f>
        <v/>
      </c>
      <c r="Z23" s="187">
        <f>IFERROR(IF(3_CashFlow!Z26&lt;0,-3_CashFlow!Z26/MAX(2_Projections!Z66-2_Projections!Y66,1),0),0)</f>
        <v/>
      </c>
      <c r="AA23" s="187">
        <f>IFERROR(IF(3_CashFlow!AA26&lt;0,-3_CashFlow!AA26/MAX(2_Projections!AA66-2_Projections!Z66,1),0),0)</f>
        <v/>
      </c>
      <c r="AB23" s="187">
        <f>IFERROR(IF(3_CashFlow!AB26&lt;0,-3_CashFlow!AB26/MAX(2_Projections!AB66-2_Projections!AA66,1),0),0)</f>
        <v/>
      </c>
      <c r="AC23" s="187">
        <f>IFERROR(IF(3_CashFlow!AC26&lt;0,-3_CashFlow!AC26/MAX(2_Projections!AC66-2_Projections!AB66,1),0),0)</f>
        <v/>
      </c>
    </row>
    <row r="24" ht="15" customHeight="1" s="160">
      <c r="A24" s="181" t="n"/>
      <c r="B24" s="182" t="inlineStr">
        <is>
          <t>Magic Number (Δ ARR annualized ÷ Prior S&amp;M annualized)</t>
        </is>
      </c>
      <c r="C24" s="183" t="inlineStr">
        <is>
          <t>x</t>
        </is>
      </c>
      <c r="D24" s="181" t="n"/>
      <c r="E24" s="181" t="n"/>
      <c r="F24" s="288">
        <f>IFERROR((2_Projections!F66-2_Projections!E66)*(12/1)/(E5*(12/1)),0)</f>
        <v/>
      </c>
      <c r="G24" s="289">
        <f>IFERROR((2_Projections!G66-2_Projections!F66)*(12/1)/(F5*(12/1)),0)</f>
        <v/>
      </c>
      <c r="H24" s="288">
        <f>IFERROR((2_Projections!H66-2_Projections!G66)*(12/1)/(G5*(12/1)),0)</f>
        <v/>
      </c>
      <c r="I24" s="288">
        <f>IFERROR((2_Projections!I66-2_Projections!H66)*(12/1)/(H5*(12/1)),0)</f>
        <v/>
      </c>
      <c r="J24" s="288">
        <f>IFERROR((2_Projections!J66-2_Projections!I66)*(12/1)/(I5*(12/1)),0)</f>
        <v/>
      </c>
      <c r="K24" s="288">
        <f>IFERROR((2_Projections!K66-2_Projections!J66)*(12/1)/(J5*(12/1)),0)</f>
        <v/>
      </c>
      <c r="L24" s="288">
        <f>IFERROR((2_Projections!L66-2_Projections!K66)*(12/1)/(K5*(12/1)),0)</f>
        <v/>
      </c>
      <c r="M24" s="288">
        <f>IFERROR((2_Projections!M66-2_Projections!L66)*(12/1)/(L5*(12/1)),0)</f>
        <v/>
      </c>
      <c r="N24" s="288">
        <f>IFERROR((2_Projections!N66-2_Projections!M66)*(12/3)/(M5*(12/1)),0)</f>
        <v/>
      </c>
      <c r="O24" s="288">
        <f>IFERROR((2_Projections!O66-2_Projections!N66)*(12/3)/(N5*(12/3)),0)</f>
        <v/>
      </c>
      <c r="P24" s="288">
        <f>IFERROR((2_Projections!P66-2_Projections!O66)*(12/3)/(O5*(12/3)),0)</f>
        <v/>
      </c>
      <c r="Q24" s="288">
        <f>IFERROR((2_Projections!Q66-2_Projections!P66)*(12/3)/(P5*(12/3)),0)</f>
        <v/>
      </c>
      <c r="R24" s="288">
        <f>IFERROR((2_Projections!R66-2_Projections!Q66)*(12/3)/(Q5*(12/3)),0)</f>
        <v/>
      </c>
      <c r="S24" s="288">
        <f>IFERROR((2_Projections!S66-2_Projections!R66)*(12/3)/(R5*(12/3)),0)</f>
        <v/>
      </c>
      <c r="T24" s="288">
        <f>IFERROR((2_Projections!T66-2_Projections!S66)*(12/3)/(S5*(12/3)),0)</f>
        <v/>
      </c>
      <c r="U24" s="288">
        <f>IFERROR((2_Projections!U66-2_Projections!T66)*(12/3)/(T5*(12/3)),0)</f>
        <v/>
      </c>
      <c r="V24" s="288">
        <f>IFERROR((2_Projections!V66-2_Projections!U66)*(12/3)/(U5*(12/3)),0)</f>
        <v/>
      </c>
      <c r="W24" s="288">
        <f>IFERROR((2_Projections!W66-2_Projections!V66)*(12/3)/(V5*(12/3)),0)</f>
        <v/>
      </c>
      <c r="X24" s="288">
        <f>IFERROR((2_Projections!X66-2_Projections!W66)*(12/3)/(W5*(12/3)),0)</f>
        <v/>
      </c>
      <c r="Y24" s="288">
        <f>IFERROR((2_Projections!Y66-2_Projections!X66)*(12/3)/(X5*(12/3)),0)</f>
        <v/>
      </c>
      <c r="Z24" s="288">
        <f>IFERROR((2_Projections!Z66-2_Projections!Y66)*(12/3)/(Y5*(12/3)),0)</f>
        <v/>
      </c>
      <c r="AA24" s="288">
        <f>IFERROR((2_Projections!AA66-2_Projections!Z66)*(12/3)/(Z5*(12/3)),0)</f>
        <v/>
      </c>
      <c r="AB24" s="288">
        <f>IFERROR((2_Projections!AB66-2_Projections!AA66)*(12/3)/(AA5*(12/3)),0)</f>
        <v/>
      </c>
      <c r="AC24" s="288">
        <f>IFERROR((2_Projections!AC66-2_Projections!AB66)*(12/3)/(AB5*(12/3)),0)</f>
        <v/>
      </c>
    </row>
    <row r="25" ht="15" customHeight="1" s="160">
      <c r="A25" s="176" t="n"/>
      <c r="B25" s="177" t="inlineStr">
        <is>
          <t>Rule of 40 (Rev Growth % + EBITDA Margin %)</t>
        </is>
      </c>
      <c r="C25" s="178" t="inlineStr">
        <is>
          <t>%</t>
        </is>
      </c>
      <c r="D25" s="176" t="n"/>
      <c r="E25" s="176" t="n"/>
      <c r="F25" s="258">
        <f>IFERROR((F9-E9)/MAX(ABS(E9),1)*(12/1)+F12/F9,0)</f>
        <v/>
      </c>
      <c r="G25" s="259">
        <f>IFERROR((G9-F9)/MAX(ABS(F9),1)*(12/1)+G12/G9,0)</f>
        <v/>
      </c>
      <c r="H25" s="258">
        <f>IFERROR((H9-G9)/MAX(ABS(G9),1)*(12/1)+H12/H9,0)</f>
        <v/>
      </c>
      <c r="I25" s="258">
        <f>IFERROR((I9-H9)/MAX(ABS(H9),1)*(12/1)+I12/I9,0)</f>
        <v/>
      </c>
      <c r="J25" s="258">
        <f>IFERROR((J9-I9)/MAX(ABS(I9),1)*(12/1)+J12/J9,0)</f>
        <v/>
      </c>
      <c r="K25" s="258">
        <f>IFERROR((K9-J9)/MAX(ABS(J9),1)*(12/1)+K12/K9,0)</f>
        <v/>
      </c>
      <c r="L25" s="258">
        <f>IFERROR((L9-K9)/MAX(ABS(K9),1)*(12/1)+L12/L9,0)</f>
        <v/>
      </c>
      <c r="M25" s="258">
        <f>IFERROR((M9-L9)/MAX(ABS(L9),1)*(12/1)+M12/M9,0)</f>
        <v/>
      </c>
      <c r="N25" s="258">
        <f>IFERROR((N9-M9)/MAX(ABS(M9),1)*(12/3)+N12/N9,0)</f>
        <v/>
      </c>
      <c r="O25" s="258">
        <f>IFERROR((O9-N9)/MAX(ABS(N9),1)*(12/3)+O12/O9,0)</f>
        <v/>
      </c>
      <c r="P25" s="258">
        <f>IFERROR((P9-O9)/MAX(ABS(O9),1)*(12/3)+P12/P9,0)</f>
        <v/>
      </c>
      <c r="Q25" s="258">
        <f>IFERROR((Q9-P9)/MAX(ABS(P9),1)*(12/3)+Q12/Q9,0)</f>
        <v/>
      </c>
      <c r="R25" s="258">
        <f>IFERROR((R9-Q9)/MAX(ABS(Q9),1)*(12/3)+R12/R9,0)</f>
        <v/>
      </c>
      <c r="S25" s="258">
        <f>IFERROR((S9-R9)/MAX(ABS(R9),1)*(12/3)+S12/S9,0)</f>
        <v/>
      </c>
      <c r="T25" s="258">
        <f>IFERROR((T9-S9)/MAX(ABS(S9),1)*(12/3)+T12/T9,0)</f>
        <v/>
      </c>
      <c r="U25" s="258">
        <f>IFERROR((U9-T9)/MAX(ABS(T9),1)*(12/3)+U12/U9,0)</f>
        <v/>
      </c>
      <c r="V25" s="258">
        <f>IFERROR((V9-U9)/MAX(ABS(U9),1)*(12/3)+V12/V9,0)</f>
        <v/>
      </c>
      <c r="W25" s="258">
        <f>IFERROR((W9-V9)/MAX(ABS(V9),1)*(12/3)+W12/W9,0)</f>
        <v/>
      </c>
      <c r="X25" s="258">
        <f>IFERROR((X9-W9)/MAX(ABS(W9),1)*(12/3)+X12/X9,0)</f>
        <v/>
      </c>
      <c r="Y25" s="258">
        <f>IFERROR((Y9-X9)/MAX(ABS(X9),1)*(12/3)+Y12/Y9,0)</f>
        <v/>
      </c>
      <c r="Z25" s="258">
        <f>IFERROR((Z9-Y9)/MAX(ABS(Y9),1)*(12/3)+Z12/Z9,0)</f>
        <v/>
      </c>
      <c r="AA25" s="258">
        <f>IFERROR((AA9-Z9)/MAX(ABS(Z9),1)*(12/3)+AA12/AA9,0)</f>
        <v/>
      </c>
      <c r="AB25" s="258">
        <f>IFERROR((AB9-AA9)/MAX(ABS(AA9),1)*(12/3)+AB12/AB9,0)</f>
        <v/>
      </c>
      <c r="AC25" s="258">
        <f>IFERROR((AC9-AB9)/MAX(ABS(AB9),1)*(12/3)+AC12/AC9,0)</f>
        <v/>
      </c>
    </row>
  </sheetData>
  <mergeCells count="6">
    <mergeCell ref="E2:M2"/>
    <mergeCell ref="A1:AC1"/>
    <mergeCell ref="V2:Y2"/>
    <mergeCell ref="Z2:AC2"/>
    <mergeCell ref="N2:Q2"/>
    <mergeCell ref="R2:U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59" min="1" max="1"/>
    <col width="38" customWidth="1" style="159" min="2" max="2"/>
    <col width="16" customWidth="1" style="159" min="3" max="8"/>
    <col width="14" customWidth="1" style="159" min="9" max="9"/>
    <col width="52" customWidth="1" style="159" min="10" max="10"/>
  </cols>
  <sheetData>
    <row r="1" ht="17.25" customHeight="1" s="160">
      <c r="A1" s="290" t="inlineStr">
        <is>
          <t>7_CapTable  |  Ownership &amp; Dilution  |  Pre-Seed &gt; Seed &gt; Series A  |  ARTISO AI</t>
        </is>
      </c>
    </row>
    <row r="3" ht="15" customHeight="1" s="160">
      <c r="B3" s="291" t="inlineStr">
        <is>
          <t>A. FOUNDING &amp; ROUND ASSUMPTIONS</t>
        </is>
      </c>
    </row>
    <row r="4" ht="15" customHeight="1" s="160">
      <c r="B4" s="292" t="inlineStr">
        <is>
          <t>Parameter</t>
        </is>
      </c>
      <c r="C4" s="292" t="inlineStr">
        <is>
          <t>Value</t>
        </is>
      </c>
      <c r="J4" s="292" t="inlineStr">
        <is>
          <t>Notes</t>
        </is>
      </c>
    </row>
    <row r="5" ht="15" customHeight="1" s="160">
      <c r="B5" s="293" t="inlineStr">
        <is>
          <t>Number of Founders</t>
        </is>
      </c>
      <c r="C5" s="294" t="n">
        <v>3</v>
      </c>
      <c r="J5" s="295" t="inlineStr">
        <is>
          <t>Equal split at incorporation</t>
        </is>
      </c>
    </row>
    <row r="6" ht="15" customHeight="1" s="160">
      <c r="B6" s="293" t="inlineStr">
        <is>
          <t>Authorised Shares at Incorporation</t>
        </is>
      </c>
      <c r="C6" s="294" t="n">
        <v>10000000</v>
      </c>
      <c r="J6" s="295" t="inlineStr">
        <is>
          <t>Standard 10M shares. Spanish SL.</t>
        </is>
      </c>
    </row>
    <row r="7" ht="15" customHeight="1" s="160">
      <c r="B7" s="293" t="inlineStr">
        <is>
          <t>Nominal Value per Share</t>
        </is>
      </c>
      <c r="C7" s="296" t="n">
        <v>0.01</v>
      </c>
      <c r="J7" s="295" t="inlineStr">
        <is>
          <t>Spanish SL nominal minimum</t>
        </is>
      </c>
    </row>
    <row r="8" ht="15" customHeight="1" s="160">
      <c r="B8" s="293" t="inlineStr">
        <is>
          <t>Founder Shares (each)</t>
        </is>
      </c>
      <c r="C8" s="297">
        <f>C6/C5</f>
        <v/>
      </c>
      <c r="J8" s="295" t="inlineStr">
        <is>
          <t>10M / 3 = 3,333,333 each</t>
        </is>
      </c>
    </row>
    <row r="9" ht="15" customHeight="1" s="160">
      <c r="B9" s="293" t="inlineStr">
        <is>
          <t>Total Founder Shares</t>
        </is>
      </c>
      <c r="C9" s="297">
        <f>C6</f>
        <v/>
      </c>
      <c r="J9" s="295" t="inlineStr">
        <is>
          <t>Equals authorised shares at incorporation</t>
        </is>
      </c>
    </row>
    <row r="11" ht="15" customHeight="1" s="160">
      <c r="B11" s="293" t="inlineStr">
        <is>
          <t>ESOP Pool (% of post-seed fully diluted)</t>
        </is>
      </c>
      <c r="C11" s="298" t="n">
        <v>0.1</v>
      </c>
      <c r="J11" s="295" t="inlineStr">
        <is>
          <t>10% ESOP reserved</t>
        </is>
      </c>
    </row>
    <row r="12" ht="15" customHeight="1" s="160">
      <c r="B12" s="293" t="inlineStr">
        <is>
          <t>ESOP Dilution Method</t>
        </is>
      </c>
      <c r="C12" s="299" t="inlineStr">
        <is>
          <t>Pre-money (founders bear it)</t>
        </is>
      </c>
      <c r="J12" s="295" t="inlineStr">
        <is>
          <t>Standard VC. Course says dilute ALL pro-rata.</t>
        </is>
      </c>
    </row>
    <row r="14" ht="15" customHeight="1" s="160">
      <c r="B14" s="291" t="inlineStr">
        <is>
          <t>SEED ROUND TERMS</t>
        </is>
      </c>
    </row>
    <row r="15" ht="15" customHeight="1" s="160">
      <c r="B15" s="292" t="inlineStr">
        <is>
          <t>Parameter</t>
        </is>
      </c>
      <c r="C15" s="292" t="inlineStr">
        <is>
          <t>Value</t>
        </is>
      </c>
      <c r="J15" s="292" t="inlineStr">
        <is>
          <t>Notes</t>
        </is>
      </c>
    </row>
    <row r="16" ht="15" customHeight="1" s="160">
      <c r="B16" s="293" t="inlineStr">
        <is>
          <t>Pre-Money Valuation</t>
        </is>
      </c>
      <c r="C16" s="300" t="n">
        <v>27000000</v>
      </c>
      <c r="J16" s="295" t="inlineStr">
        <is>
          <t>Term sheet: EUR27M pre-money</t>
        </is>
      </c>
    </row>
    <row r="17" ht="15" customHeight="1" s="160">
      <c r="B17" s="293" t="inlineStr">
        <is>
          <t>Investment Amount</t>
        </is>
      </c>
      <c r="C17" s="300" t="n">
        <v>3000000</v>
      </c>
      <c r="J17" s="295" t="inlineStr">
        <is>
          <t>Matches 3_CashFlow equity raised</t>
        </is>
      </c>
    </row>
    <row r="18" ht="15" customHeight="1" s="160">
      <c r="B18" s="293" t="inlineStr">
        <is>
          <t>Post-Money Valuation</t>
        </is>
      </c>
      <c r="C18" s="301">
        <f>C16+C17</f>
        <v/>
      </c>
      <c r="J18" s="295" t="inlineStr">
        <is>
          <t>Pre + Investment = EUR30M</t>
        </is>
      </c>
    </row>
    <row r="19" ht="15" customHeight="1" s="160">
      <c r="B19" s="293" t="inlineStr">
        <is>
          <t>Investor Ownership %</t>
        </is>
      </c>
      <c r="C19" s="302">
        <f>C17/C18</f>
        <v/>
      </c>
      <c r="J19" s="295" t="inlineStr">
        <is>
          <t>EUR3M / EUR30M = 10%</t>
        </is>
      </c>
    </row>
    <row r="21" ht="15" customHeight="1" s="160">
      <c r="B21" s="291" t="inlineStr">
        <is>
          <t>B. SHARE MATH (ESOP carved from pre-money)</t>
        </is>
      </c>
    </row>
    <row r="22" ht="15" customHeight="1" s="160">
      <c r="B22" s="292" t="inlineStr">
        <is>
          <t>Calculation</t>
        </is>
      </c>
      <c r="C22" s="292" t="inlineStr">
        <is>
          <t>Result</t>
        </is>
      </c>
      <c r="J22" s="292" t="inlineStr">
        <is>
          <t>Formula / Logic</t>
        </is>
      </c>
    </row>
    <row r="23" ht="15" customHeight="1" s="160">
      <c r="B23" s="293" t="inlineStr">
        <is>
          <t>Founders% post-seed (after ESOP + investor)</t>
        </is>
      </c>
      <c r="C23" s="302">
        <f>1-C11-C19</f>
        <v/>
      </c>
      <c r="J23" s="295" t="inlineStr">
        <is>
          <t>100% - 10% ESOP - 10% investor = 80%</t>
        </is>
      </c>
    </row>
    <row r="24" ht="15" customHeight="1" s="160">
      <c r="B24" s="293" t="inlineStr">
        <is>
          <t>Fully Diluted Shares (post-seed)</t>
        </is>
      </c>
      <c r="C24" s="297">
        <f>ROUND(C9/C23,0)</f>
        <v/>
      </c>
      <c r="J24" s="295" t="inlineStr">
        <is>
          <t>Founder shares / Founder% = 10M / 0.80 = 12,500,000</t>
        </is>
      </c>
    </row>
    <row r="25" ht="15" customHeight="1" s="160">
      <c r="B25" s="293" t="inlineStr">
        <is>
          <t>ESOP Pool (shares)</t>
        </is>
      </c>
      <c r="C25" s="297">
        <f>ROUND(C24*C11,0)</f>
        <v/>
      </c>
      <c r="J25" s="295" t="inlineStr">
        <is>
          <t>10% x 12.5M = 1,250,000</t>
        </is>
      </c>
    </row>
    <row r="26" ht="15" customHeight="1" s="160">
      <c r="B26" s="293" t="inlineStr">
        <is>
          <t>Seed Investor Shares</t>
        </is>
      </c>
      <c r="C26" s="297">
        <f>ROUND(C24*C19,0)</f>
        <v/>
      </c>
      <c r="J26" s="295" t="inlineStr">
        <is>
          <t>10% x 12.5M = 1,250,000</t>
        </is>
      </c>
    </row>
    <row r="27" ht="15" customHeight="1" s="160">
      <c r="B27" s="293" t="inlineStr">
        <is>
          <t>Price per Share</t>
        </is>
      </c>
      <c r="C27" s="303">
        <f>C18/C24</f>
        <v/>
      </c>
      <c r="J27" s="295" t="inlineStr">
        <is>
          <t>Post-money / FD = EUR30M / 12.5M = EUR2.40</t>
        </is>
      </c>
    </row>
    <row r="29" ht="15" customHeight="1" s="160">
      <c r="B29" s="293" t="inlineStr">
        <is>
          <t>CHECK: Total Shares</t>
        </is>
      </c>
      <c r="C29" s="297">
        <f>C9+C25+C26</f>
        <v/>
      </c>
      <c r="J29" s="295" t="inlineStr">
        <is>
          <t>Should = row 24</t>
        </is>
      </c>
    </row>
    <row r="30" ht="15" customHeight="1" s="160">
      <c r="B30" s="293" t="inlineStr">
        <is>
          <t>CHECK: Investor Value</t>
        </is>
      </c>
      <c r="C30" s="301">
        <f>C26*C27</f>
        <v/>
      </c>
      <c r="J30" s="295" t="inlineStr">
        <is>
          <t>Should = EUR3M</t>
        </is>
      </c>
    </row>
    <row r="31" ht="15" customHeight="1" s="160">
      <c r="B31" s="293" t="inlineStr">
        <is>
          <t>CHECK: Post-Money</t>
        </is>
      </c>
      <c r="C31" s="301">
        <f>C24*C27</f>
        <v/>
      </c>
      <c r="J31" s="295" t="inlineStr">
        <is>
          <t>Should = EUR30M</t>
        </is>
      </c>
    </row>
    <row r="33" ht="15" customHeight="1" s="160">
      <c r="B33" s="291" t="inlineStr">
        <is>
          <t>C. CAP TABLE BY ROUND</t>
        </is>
      </c>
    </row>
    <row r="34" ht="15" customHeight="1" s="160">
      <c r="B34" s="292" t="inlineStr">
        <is>
          <t>Shareholder</t>
        </is>
      </c>
      <c r="C34" s="292" t="inlineStr">
        <is>
          <t>Pre-Seed</t>
        </is>
      </c>
      <c r="D34" s="292" t="inlineStr">
        <is>
          <t>Pre-Seed %</t>
        </is>
      </c>
      <c r="E34" s="292" t="inlineStr">
        <is>
          <t>Post-Seed</t>
        </is>
      </c>
      <c r="F34" s="292" t="inlineStr">
        <is>
          <t>Post-Seed %</t>
        </is>
      </c>
      <c r="G34" s="292" t="inlineStr">
        <is>
          <t>Post-Series A</t>
        </is>
      </c>
      <c r="H34" s="292" t="inlineStr">
        <is>
          <t>Post-Ser A %</t>
        </is>
      </c>
    </row>
    <row r="35" ht="15" customHeight="1" s="160">
      <c r="B35" s="293" t="inlineStr">
        <is>
          <t>Founder 1 (CEO)</t>
        </is>
      </c>
      <c r="C35" s="297">
        <f>C8</f>
        <v/>
      </c>
      <c r="D35" s="302">
        <f>C35/C41</f>
        <v/>
      </c>
      <c r="E35" s="297">
        <f>C35</f>
        <v/>
      </c>
      <c r="F35" s="302">
        <f>E35/E41</f>
        <v/>
      </c>
      <c r="G35" s="297">
        <f>E35</f>
        <v/>
      </c>
      <c r="H35" s="302">
        <f>G35/G41</f>
        <v/>
      </c>
    </row>
    <row r="36" ht="15" customHeight="1" s="160">
      <c r="B36" s="293" t="inlineStr">
        <is>
          <t>Founder 2 (CPO)</t>
        </is>
      </c>
      <c r="C36" s="297">
        <f>C8</f>
        <v/>
      </c>
      <c r="D36" s="302">
        <f>C36/C41</f>
        <v/>
      </c>
      <c r="E36" s="297">
        <f>C36</f>
        <v/>
      </c>
      <c r="F36" s="302">
        <f>E36/E41</f>
        <v/>
      </c>
      <c r="G36" s="297">
        <f>E36</f>
        <v/>
      </c>
      <c r="H36" s="302">
        <f>G36/G41</f>
        <v/>
      </c>
    </row>
    <row r="37" ht="15" customHeight="1" s="160">
      <c r="B37" s="293" t="inlineStr">
        <is>
          <t>Founder 3 (CTO)</t>
        </is>
      </c>
      <c r="C37" s="297">
        <f>C8</f>
        <v/>
      </c>
      <c r="D37" s="302">
        <f>C37/C41</f>
        <v/>
      </c>
      <c r="E37" s="297">
        <f>C37</f>
        <v/>
      </c>
      <c r="F37" s="302">
        <f>E37/E41</f>
        <v/>
      </c>
      <c r="G37" s="297">
        <f>E37</f>
        <v/>
      </c>
      <c r="H37" s="302">
        <f>G37/G41</f>
        <v/>
      </c>
    </row>
    <row r="38" ht="15" customHeight="1" s="160">
      <c r="B38" s="293" t="inlineStr">
        <is>
          <t>ESOP Pool</t>
        </is>
      </c>
      <c r="C38" s="297" t="n">
        <v>0</v>
      </c>
      <c r="D38" s="302">
        <f>C38/C41</f>
        <v/>
      </c>
      <c r="E38" s="297">
        <f>C25</f>
        <v/>
      </c>
      <c r="F38" s="302">
        <f>E38/E41</f>
        <v/>
      </c>
      <c r="G38" s="297">
        <f>E38</f>
        <v/>
      </c>
      <c r="H38" s="302">
        <f>G38/G41</f>
        <v/>
      </c>
    </row>
    <row r="39" ht="15" customHeight="1" s="160">
      <c r="B39" s="293" t="inlineStr">
        <is>
          <t>Seed Investor(s)</t>
        </is>
      </c>
      <c r="C39" s="297" t="n">
        <v>0</v>
      </c>
      <c r="D39" s="302">
        <f>C39/C41</f>
        <v/>
      </c>
      <c r="E39" s="297">
        <f>C26</f>
        <v/>
      </c>
      <c r="F39" s="302">
        <f>E39/E41</f>
        <v/>
      </c>
      <c r="G39" s="297">
        <f>E39</f>
        <v/>
      </c>
      <c r="H39" s="302">
        <f>G39/G41</f>
        <v/>
      </c>
    </row>
    <row r="40" ht="15" customHeight="1" s="160">
      <c r="B40" s="293" t="inlineStr">
        <is>
          <t>Series A Investor</t>
        </is>
      </c>
      <c r="C40" s="297" t="n">
        <v>0</v>
      </c>
      <c r="D40" s="302">
        <f>C40/C41</f>
        <v/>
      </c>
      <c r="E40" s="297" t="n">
        <v>0</v>
      </c>
      <c r="F40" s="302">
        <f>E40/E41</f>
        <v/>
      </c>
      <c r="G40" s="297">
        <f>C56</f>
        <v/>
      </c>
      <c r="H40" s="302">
        <f>G40/G41</f>
        <v/>
      </c>
    </row>
    <row r="41" ht="15" customHeight="1" s="160">
      <c r="B41" s="304" t="inlineStr">
        <is>
          <t>TOTAL</t>
        </is>
      </c>
      <c r="C41" s="305">
        <f>SUM(C35:C40)</f>
        <v/>
      </c>
      <c r="D41" s="306">
        <f>SUM(D35:D40)</f>
        <v/>
      </c>
      <c r="E41" s="305">
        <f>SUM(E35:E40)</f>
        <v/>
      </c>
      <c r="F41" s="306">
        <f>SUM(F35:F40)</f>
        <v/>
      </c>
      <c r="G41" s="305">
        <f>SUM(G35:G40)</f>
        <v/>
      </c>
      <c r="H41" s="306">
        <f>SUM(H35:H40)</f>
        <v/>
      </c>
    </row>
    <row r="43" ht="15" customHeight="1" s="160">
      <c r="B43" s="291" t="inlineStr">
        <is>
          <t>D. SERIES A ASSUMPTIONS (needed by Q2 2028 per runway)</t>
        </is>
      </c>
    </row>
    <row r="44" ht="15" customHeight="1" s="160">
      <c r="B44" s="292" t="inlineStr">
        <is>
          <t>Parameter</t>
        </is>
      </c>
      <c r="C44" s="292" t="inlineStr">
        <is>
          <t>Value</t>
        </is>
      </c>
      <c r="J44" s="292" t="inlineStr">
        <is>
          <t>Notes</t>
        </is>
      </c>
    </row>
    <row r="45" ht="15" customHeight="1" s="160">
      <c r="B45" s="293" t="inlineStr">
        <is>
          <t>Series A Timing</t>
        </is>
      </c>
      <c r="C45" s="299" t="inlineStr">
        <is>
          <t>Q1 2028</t>
        </is>
      </c>
      <c r="J45" s="295" t="inlineStr">
        <is>
          <t>Cash negative Q2 2028 per 3_CashFlow</t>
        </is>
      </c>
    </row>
    <row r="46" ht="15" customHeight="1" s="160">
      <c r="B46" s="293" t="inlineStr">
        <is>
          <t>ARR at Series A</t>
        </is>
      </c>
      <c r="C46" s="307">
        <f>2_Projections!H109</f>
        <v/>
      </c>
      <c r="J46" s="295" t="inlineStr">
        <is>
          <t>FY2028 ARR from Projections</t>
        </is>
      </c>
    </row>
    <row r="47" ht="15" customHeight="1" s="160">
      <c r="B47" s="293" t="inlineStr">
        <is>
          <t>ARR Multiple (Series A)</t>
        </is>
      </c>
      <c r="C47" s="308" t="n">
        <v>15</v>
      </c>
      <c r="J47" s="295" t="inlineStr">
        <is>
          <t>EU AI/SaaS Series A: 10-20x ARR</t>
        </is>
      </c>
    </row>
    <row r="48" ht="15" customHeight="1" s="160">
      <c r="B48" s="293" t="inlineStr">
        <is>
          <t>Pre-Money (Series A)</t>
        </is>
      </c>
      <c r="C48" s="301">
        <f>C46*C47</f>
        <v/>
      </c>
      <c r="J48" s="295" t="inlineStr">
        <is>
          <t>ARR x Multiple</t>
        </is>
      </c>
    </row>
    <row r="49" ht="15" customHeight="1" s="160">
      <c r="B49" s="293" t="inlineStr">
        <is>
          <t>Capital Required</t>
        </is>
      </c>
      <c r="C49" s="300" t="n">
        <v>5000000</v>
      </c>
      <c r="J49" s="295" t="inlineStr">
        <is>
          <t>Bridge to profitability (~Q1 2029)</t>
        </is>
      </c>
    </row>
    <row r="50" ht="15" customHeight="1" s="160">
      <c r="B50" s="293" t="inlineStr">
        <is>
          <t>Post-Money (Series A)</t>
        </is>
      </c>
      <c r="C50" s="301">
        <f>C48+C49</f>
        <v/>
      </c>
      <c r="J50" s="295" t="inlineStr">
        <is>
          <t>Pre + Investment</t>
        </is>
      </c>
    </row>
    <row r="51" ht="15" customHeight="1" s="160">
      <c r="B51" s="293" t="inlineStr">
        <is>
          <t>Series A Investor %</t>
        </is>
      </c>
      <c r="C51" s="302">
        <f>C49/C50</f>
        <v/>
      </c>
      <c r="J51" s="295" t="inlineStr">
        <is>
          <t>Investment / Post-money</t>
        </is>
      </c>
    </row>
    <row r="52" ht="15" customHeight="1" s="160">
      <c r="B52" s="293" t="inlineStr">
        <is>
          <t>Pre-existing FD Shares</t>
        </is>
      </c>
      <c r="C52" s="297">
        <f>E41</f>
        <v/>
      </c>
      <c r="J52" s="295" t="inlineStr">
        <is>
          <t>Post-seed fully diluted</t>
        </is>
      </c>
    </row>
    <row r="53" ht="15" customHeight="1" s="160">
      <c r="B53" s="293" t="inlineStr">
        <is>
          <t>PPS Series A</t>
        </is>
      </c>
      <c r="C53" s="303">
        <f>C48/C52</f>
        <v/>
      </c>
      <c r="J53" s="295" t="inlineStr">
        <is>
          <t>Pre-money / pre-existing FD</t>
        </is>
      </c>
    </row>
    <row r="54" ht="15" customHeight="1" s="160">
      <c r="B54" s="293" t="inlineStr">
        <is>
          <t>Step-Up from Seed (x)</t>
        </is>
      </c>
      <c r="C54" s="309">
        <f>C53/C27</f>
        <v/>
      </c>
      <c r="J54" s="295" t="inlineStr">
        <is>
          <t>Series A PPS / Seed PPS</t>
        </is>
      </c>
    </row>
    <row r="56" ht="15" customHeight="1" s="160">
      <c r="B56" s="293" t="inlineStr">
        <is>
          <t>Series A New Shares</t>
        </is>
      </c>
      <c r="C56" s="297">
        <f>ROUND(C52*C51/(1-C51),0)</f>
        <v/>
      </c>
      <c r="J56" s="295" t="inlineStr">
        <is>
          <t>FD x investor% / (1 - investor%)</t>
        </is>
      </c>
    </row>
    <row r="57" ht="15" customHeight="1" s="160">
      <c r="B57" s="293" t="inlineStr">
        <is>
          <t>Post-Series A FD Shares</t>
        </is>
      </c>
      <c r="C57" s="297">
        <f>C52+C56</f>
        <v/>
      </c>
      <c r="J57" s="295" t="inlineStr">
        <is>
          <t>Pre-existing + Series A new shares</t>
        </is>
      </c>
    </row>
    <row r="59" ht="15" customHeight="1" s="160">
      <c r="B59" s="291" t="inlineStr">
        <is>
          <t>E. ESOP DILUTION CHECK</t>
        </is>
      </c>
    </row>
    <row r="60" ht="15" customHeight="1" s="160">
      <c r="B60" s="295" t="inlineStr">
        <is>
          <t>Course: Option pool should dilute ALL shareholders proportionally.</t>
        </is>
      </c>
    </row>
    <row r="61" ht="15" customHeight="1" s="160">
      <c r="B61" s="295" t="inlineStr">
        <is>
          <t>Actual: ESOP from pre-money = founders absorb 100% of dilution (investor protected).</t>
        </is>
      </c>
    </row>
    <row r="62" ht="15" customHeight="1" s="160">
      <c r="B62" s="310" t="inlineStr">
        <is>
          <t>WARNING: This model uses VC-standard method, not the course-recommended fair method.</t>
        </is>
      </c>
    </row>
    <row r="64" ht="15" customHeight="1" s="160">
      <c r="B64" s="292" t="inlineStr">
        <is>
          <t>Scenario</t>
        </is>
      </c>
      <c r="C64" s="292" t="inlineStr">
        <is>
          <t>Founder 1</t>
        </is>
      </c>
      <c r="D64" s="292" t="inlineStr">
        <is>
          <t>Founder 2</t>
        </is>
      </c>
      <c r="E64" s="292" t="inlineStr">
        <is>
          <t>Founder 3</t>
        </is>
      </c>
      <c r="F64" s="292" t="inlineStr">
        <is>
          <t>Investor</t>
        </is>
      </c>
      <c r="G64" s="292" t="inlineStr">
        <is>
          <t>ESOP</t>
        </is>
      </c>
    </row>
    <row r="65" ht="15" customHeight="1" s="160">
      <c r="B65" s="293" t="inlineStr">
        <is>
          <t>ACTUAL (pre-money carve-out)</t>
        </is>
      </c>
      <c r="C65" s="302">
        <f>F35</f>
        <v/>
      </c>
      <c r="D65" s="302">
        <f>F36</f>
        <v/>
      </c>
      <c r="E65" s="302">
        <f>F37</f>
        <v/>
      </c>
      <c r="F65" s="302">
        <f>F39</f>
        <v/>
      </c>
      <c r="G65" s="302">
        <f>F38</f>
        <v/>
      </c>
    </row>
    <row r="66" ht="15" customHeight="1" s="160">
      <c r="B66" s="293" t="inlineStr">
        <is>
          <t>FAIR per course (all pro-rata)</t>
        </is>
      </c>
      <c r="C66" s="302">
        <f>(1/C5)*(1-C11)</f>
        <v/>
      </c>
      <c r="D66" s="302">
        <f>(1/C5)*(1-C11)</f>
        <v/>
      </c>
      <c r="E66" s="302">
        <f>(1/C5)*(1-C11)</f>
        <v/>
      </c>
      <c r="F66" s="302">
        <f>C19*(1-C11)</f>
        <v/>
      </c>
      <c r="G66" s="302">
        <f>C11</f>
        <v/>
      </c>
    </row>
    <row r="67" ht="15" customHeight="1" s="160">
      <c r="B67" s="293" t="inlineStr">
        <is>
          <t>Delta (Fair - Actual)</t>
        </is>
      </c>
      <c r="C67" s="311">
        <f>C66-C65</f>
        <v/>
      </c>
      <c r="D67" s="311">
        <f>D66-D65</f>
        <v/>
      </c>
      <c r="E67" s="311">
        <f>E66-E65</f>
        <v/>
      </c>
      <c r="F67" s="311">
        <f>F66-F65</f>
        <v/>
      </c>
      <c r="G67" s="311">
        <f>G66-G65</f>
        <v/>
      </c>
      <c r="J67" s="295" t="inlineStr">
        <is>
          <t>Positive = founders gain under fair method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59" min="1" max="1"/>
    <col width="46" customWidth="1" style="159" min="2" max="2"/>
    <col width="18" customWidth="1" style="159" min="3" max="5"/>
    <col width="52" customWidth="1" style="159" min="8" max="8"/>
  </cols>
  <sheetData>
    <row r="1" ht="17.25" customHeight="1" s="160">
      <c r="A1" s="290" t="inlineStr">
        <is>
          <t>8_Valuation  |  VC Method / IRR / Triangulation  |  ARTISO AI</t>
        </is>
      </c>
    </row>
    <row r="3" ht="15" customHeight="1" s="160">
      <c r="B3" s="291" t="inlineStr">
        <is>
          <t>A. 5-STEP VC METHOD (Course Session 04)</t>
        </is>
      </c>
    </row>
    <row r="4" ht="15" customHeight="1" s="160">
      <c r="B4" s="292" t="inlineStr">
        <is>
          <t>Step</t>
        </is>
      </c>
      <c r="C4" s="292" t="inlineStr">
        <is>
          <t>Value</t>
        </is>
      </c>
      <c r="H4" s="292" t="inlineStr">
        <is>
          <t>Formula / Source</t>
        </is>
      </c>
    </row>
    <row r="5" ht="15" customHeight="1" s="160">
      <c r="B5" s="291" t="inlineStr">
        <is>
          <t>ASSUMPTIONS</t>
        </is>
      </c>
    </row>
    <row r="6" ht="15" customHeight="1" s="160">
      <c r="B6" s="293" t="inlineStr">
        <is>
          <t xml:space="preserve">  Exit Year</t>
        </is>
      </c>
      <c r="C6" s="312" t="n">
        <v>2030</v>
      </c>
      <c r="H6" s="295" t="inlineStr">
        <is>
          <t>Year 5 (FY2030)</t>
        </is>
      </c>
    </row>
    <row r="7" ht="15" customHeight="1" s="160">
      <c r="B7" s="293" t="inlineStr">
        <is>
          <t xml:space="preserve">  Years to Exit</t>
        </is>
      </c>
      <c r="C7" s="313">
        <f>C6-2026</f>
        <v/>
      </c>
      <c r="H7" s="295" t="inlineStr">
        <is>
          <t>Seed closed Q1 2026</t>
        </is>
      </c>
    </row>
    <row r="8" ht="15" customHeight="1" s="160">
      <c r="B8" s="293" t="inlineStr">
        <is>
          <t xml:space="preserve">  Revenue at Exit</t>
        </is>
      </c>
      <c r="C8" s="307">
        <f>2_Projections!J94</f>
        <v/>
      </c>
      <c r="H8" s="295" t="inlineStr">
        <is>
          <t>FY2030 Total Revenue</t>
        </is>
      </c>
    </row>
    <row r="9" ht="15" customHeight="1" s="160">
      <c r="B9" s="293" t="inlineStr">
        <is>
          <t xml:space="preserve">  EBITDA at Exit</t>
        </is>
      </c>
      <c r="C9" s="307">
        <f>2_Projections!J102</f>
        <v/>
      </c>
      <c r="H9" s="295" t="inlineStr">
        <is>
          <t>FY2030 EBITDA</t>
        </is>
      </c>
    </row>
    <row r="10" ht="15" customHeight="1" s="160">
      <c r="B10" s="293" t="inlineStr">
        <is>
          <t xml:space="preserve">  ARR at Exit</t>
        </is>
      </c>
      <c r="C10" s="307">
        <f>2_Projections!J109</f>
        <v/>
      </c>
      <c r="H10" s="295" t="inlineStr">
        <is>
          <t>FY2030 ARR</t>
        </is>
      </c>
    </row>
    <row r="11" ht="15" customHeight="1" s="160">
      <c r="B11" s="293" t="inlineStr">
        <is>
          <t xml:space="preserve">  Investment</t>
        </is>
      </c>
      <c r="C11" s="307">
        <f>7_CapTable!C17</f>
        <v/>
      </c>
      <c r="H11" s="295" t="inlineStr">
        <is>
          <t>Seed from Cap Table</t>
        </is>
      </c>
    </row>
    <row r="12" ht="15" customHeight="1" s="160">
      <c r="B12" s="293" t="inlineStr">
        <is>
          <t xml:space="preserve">  VC Target IRR</t>
        </is>
      </c>
      <c r="C12" s="298" t="n">
        <v>0.4</v>
      </c>
      <c r="H12" s="295" t="inlineStr">
        <is>
          <t>Course: 40% IRR target (=10x over 7-8yr)</t>
        </is>
      </c>
    </row>
    <row r="14" ht="15" customHeight="1" s="160">
      <c r="B14" s="291" t="inlineStr">
        <is>
          <t>STEP 1: Enterprise Value at Exit</t>
        </is>
      </c>
    </row>
    <row r="15" ht="15" customHeight="1" s="160">
      <c r="B15" s="293" t="inlineStr">
        <is>
          <t xml:space="preserve">  Revenue Multiple (x)</t>
        </is>
      </c>
      <c r="C15" s="308" t="n">
        <v>10</v>
      </c>
      <c r="H15" s="295" t="inlineStr">
        <is>
          <t>EU SaaS exit: 8-15x. Conservative.</t>
        </is>
      </c>
    </row>
    <row r="16" ht="15" customHeight="1" s="160">
      <c r="B16" s="293" t="inlineStr">
        <is>
          <t xml:space="preserve">  EV/EBITDA Multiple (x)</t>
        </is>
      </c>
      <c r="C16" s="308" t="n">
        <v>25</v>
      </c>
      <c r="H16" s="295" t="inlineStr">
        <is>
          <t>High-growth SaaS: 20-40x EBITDA</t>
        </is>
      </c>
    </row>
    <row r="17" ht="15" customHeight="1" s="160">
      <c r="B17" s="293" t="inlineStr">
        <is>
          <t xml:space="preserve">  EV (Revenue method)</t>
        </is>
      </c>
      <c r="C17" s="301">
        <f>C8*C15</f>
        <v/>
      </c>
      <c r="H17" s="295" t="inlineStr">
        <is>
          <t>Revenue x Multiple</t>
        </is>
      </c>
    </row>
    <row r="18" ht="15" customHeight="1" s="160">
      <c r="B18" s="293" t="inlineStr">
        <is>
          <t xml:space="preserve">  EV (EBITDA method)</t>
        </is>
      </c>
      <c r="C18" s="301">
        <f>C9*C16</f>
        <v/>
      </c>
      <c r="H18" s="295" t="inlineStr">
        <is>
          <t>EBITDA x Multiple</t>
        </is>
      </c>
    </row>
    <row r="19" ht="15" customHeight="1" s="160">
      <c r="B19" s="293" t="inlineStr">
        <is>
          <t xml:space="preserve">  EV (ARR method)</t>
        </is>
      </c>
      <c r="C19" s="301">
        <f>C10*C15</f>
        <v/>
      </c>
      <c r="H19" s="295" t="inlineStr">
        <is>
          <t>ARR x Revenue Multiple (SaaS standard)</t>
        </is>
      </c>
    </row>
    <row r="20" ht="15" customHeight="1" s="160">
      <c r="B20" s="291" t="inlineStr">
        <is>
          <t xml:space="preserve">  &gt;&gt;&gt; Selected EV at Exit</t>
        </is>
      </c>
      <c r="C20" s="314">
        <f>C19</f>
        <v/>
      </c>
      <c r="H20" s="295" t="inlineStr">
        <is>
          <t>Using ARR method</t>
        </is>
      </c>
    </row>
    <row r="22" ht="15" customHeight="1" s="160">
      <c r="B22" s="291" t="inlineStr">
        <is>
          <t>STEP 2: Required Value at Exit</t>
        </is>
      </c>
    </row>
    <row r="23" ht="15" customHeight="1" s="160">
      <c r="B23" s="293" t="inlineStr">
        <is>
          <t xml:space="preserve">  Inv x (1+IRR)^years</t>
        </is>
      </c>
      <c r="C23" s="301">
        <f>C11*(1+C12)^C7</f>
        <v/>
      </c>
      <c r="H23" s="295" t="inlineStr">
        <is>
          <t>EUR3M x (1.4)^4 = EUR11.5M</t>
        </is>
      </c>
    </row>
    <row r="25" ht="15" customHeight="1" s="160">
      <c r="B25" s="291" t="inlineStr">
        <is>
          <t>STEP 3: Required Ownership</t>
        </is>
      </c>
    </row>
    <row r="26" ht="15" customHeight="1" s="160">
      <c r="B26" s="293" t="inlineStr">
        <is>
          <t xml:space="preserve">  Inv at exit / EV at exit</t>
        </is>
      </c>
      <c r="C26" s="302">
        <f>C23/C20</f>
        <v/>
      </c>
      <c r="H26" s="295" t="inlineStr">
        <is>
          <t>Required % at exit</t>
        </is>
      </c>
    </row>
    <row r="28" ht="15" customHeight="1" s="160">
      <c r="B28" s="291" t="inlineStr">
        <is>
          <t>STEP 4: Shares</t>
        </is>
      </c>
    </row>
    <row r="29" ht="15" customHeight="1" s="160">
      <c r="B29" s="293" t="inlineStr">
        <is>
          <t xml:space="preserve">  Pre-existing FD shares</t>
        </is>
      </c>
      <c r="C29" s="315">
        <f>7_CapTable!E41</f>
        <v/>
      </c>
      <c r="H29" s="295" t="inlineStr">
        <is>
          <t>Post-seed fully diluted from cap table</t>
        </is>
      </c>
    </row>
    <row r="30" ht="15" customHeight="1" s="160">
      <c r="B30" s="293" t="inlineStr">
        <is>
          <t xml:space="preserve">  Shares for required %</t>
        </is>
      </c>
      <c r="C30" s="297">
        <f>ROUND(C29*C26/(1-C26),0)</f>
        <v/>
      </c>
      <c r="H30" s="295" t="inlineStr">
        <is>
          <t>FD x req% / (1 - req%)</t>
        </is>
      </c>
    </row>
    <row r="32" ht="15" customHeight="1" s="160">
      <c r="B32" s="291" t="inlineStr">
        <is>
          <t>STEP 5: Price per Share</t>
        </is>
      </c>
    </row>
    <row r="33" ht="15" customHeight="1" s="160">
      <c r="B33" s="293" t="inlineStr">
        <is>
          <t xml:space="preserve">  Implied PPS</t>
        </is>
      </c>
      <c r="C33" s="303">
        <f>C11/C30</f>
        <v/>
      </c>
      <c r="H33" s="295" t="inlineStr">
        <is>
          <t>Investment / shares issued</t>
        </is>
      </c>
    </row>
    <row r="34" ht="15" customHeight="1" s="160">
      <c r="B34" s="291" t="inlineStr">
        <is>
          <t xml:space="preserve">  &gt;&gt;&gt; Implied Pre-Money (VC Method)</t>
        </is>
      </c>
      <c r="C34" s="314">
        <f>C33*C29</f>
        <v/>
      </c>
      <c r="H34" s="295" t="inlineStr">
        <is>
          <t>PPS x pre-existing shares</t>
        </is>
      </c>
    </row>
    <row r="35" ht="15" customHeight="1" s="160">
      <c r="B35" s="293" t="inlineStr">
        <is>
          <t xml:space="preserve">  &gt;&gt;&gt; Implied Post-Money</t>
        </is>
      </c>
      <c r="C35" s="301">
        <f>C34+C11</f>
        <v/>
      </c>
      <c r="H35" s="295" t="inlineStr">
        <is>
          <t>Pre-money + Investment</t>
        </is>
      </c>
    </row>
    <row r="37" ht="15" customHeight="1" s="160">
      <c r="B37" s="291" t="inlineStr">
        <is>
          <t>B. IMPLIED IRR FOR SEED INVESTORS</t>
        </is>
      </c>
    </row>
    <row r="38" ht="15" customHeight="1" s="160">
      <c r="B38" s="292" t="inlineStr">
        <is>
          <t>Metric</t>
        </is>
      </c>
      <c r="C38" s="292" t="inlineStr">
        <is>
          <t>Value</t>
        </is>
      </c>
      <c r="H38" s="292" t="inlineStr">
        <is>
          <t>Formula</t>
        </is>
      </c>
    </row>
    <row r="39" ht="15" customHeight="1" s="160">
      <c r="B39" s="293" t="inlineStr">
        <is>
          <t>Seed Investment</t>
        </is>
      </c>
      <c r="C39" s="301">
        <f>C11</f>
        <v/>
      </c>
    </row>
    <row r="40" ht="15" customHeight="1" s="160">
      <c r="B40" s="293" t="inlineStr">
        <is>
          <t>Seed Ownership (post-seed)</t>
        </is>
      </c>
      <c r="C40" s="316">
        <f>7_CapTable!F39</f>
        <v/>
      </c>
      <c r="H40" s="295" t="inlineStr">
        <is>
          <t>From cap table</t>
        </is>
      </c>
    </row>
    <row r="41" ht="15" customHeight="1" s="160">
      <c r="B41" s="293" t="inlineStr">
        <is>
          <t>Seed Ownership (post-Series A)</t>
        </is>
      </c>
      <c r="C41" s="316">
        <f>7_CapTable!H39</f>
        <v/>
      </c>
      <c r="H41" s="295" t="inlineStr">
        <is>
          <t>Diluted by Series A</t>
        </is>
      </c>
    </row>
    <row r="42" ht="15" customHeight="1" s="160">
      <c r="B42" s="293" t="inlineStr">
        <is>
          <t>EV at Exit</t>
        </is>
      </c>
      <c r="C42" s="301">
        <f>C20</f>
        <v/>
      </c>
    </row>
    <row r="43" ht="15" customHeight="1" s="160">
      <c r="B43" s="293" t="inlineStr">
        <is>
          <t>Years to Exit</t>
        </is>
      </c>
      <c r="C43" s="313">
        <f>C7</f>
        <v/>
      </c>
    </row>
    <row r="45" ht="15" customHeight="1" s="160">
      <c r="B45" s="293" t="inlineStr">
        <is>
          <t>Exit Value (no further dilution)</t>
        </is>
      </c>
      <c r="C45" s="301">
        <f>C42*C40</f>
        <v/>
      </c>
      <c r="H45" s="295" t="inlineStr">
        <is>
          <t>EV x ownership%</t>
        </is>
      </c>
    </row>
    <row r="46" ht="15" customHeight="1" s="160">
      <c r="B46" s="293" t="inlineStr">
        <is>
          <t>Exit Value (post-Series A)</t>
        </is>
      </c>
      <c r="C46" s="301">
        <f>C42*C41</f>
        <v/>
      </c>
      <c r="H46" s="295" t="inlineStr">
        <is>
          <t>EV x diluted ownership%</t>
        </is>
      </c>
    </row>
    <row r="48" ht="15" customHeight="1" s="160">
      <c r="B48" s="295" t="inlineStr">
        <is>
          <t>IRR = (Exit/Inv)^(1/years) - 1</t>
        </is>
      </c>
    </row>
    <row r="49" ht="15" customHeight="1" s="160">
      <c r="B49" s="291" t="inlineStr">
        <is>
          <t>&gt;&gt;&gt; IRR (no dilution)</t>
        </is>
      </c>
      <c r="C49" s="302">
        <f>(C45/C39)^(1/C43)-1</f>
        <v/>
      </c>
      <c r="H49" s="295" t="inlineStr">
        <is>
          <t>Best case</t>
        </is>
      </c>
    </row>
    <row r="50" ht="15" customHeight="1" s="160">
      <c r="B50" s="291" t="inlineStr">
        <is>
          <t>&gt;&gt;&gt; IRR (post-Series A)</t>
        </is>
      </c>
      <c r="C50" s="302">
        <f>(C46/C39)^(1/C43)-1</f>
        <v/>
      </c>
      <c r="H50" s="295" t="inlineStr">
        <is>
          <t>Realistic</t>
        </is>
      </c>
    </row>
    <row r="51" ht="15" customHeight="1" s="160">
      <c r="B51" s="293" t="inlineStr">
        <is>
          <t>Return Multiple (no dilution)</t>
        </is>
      </c>
      <c r="C51" s="309">
        <f>C45/C39</f>
        <v/>
      </c>
    </row>
    <row r="52" ht="15" customHeight="1" s="160">
      <c r="B52" s="293" t="inlineStr">
        <is>
          <t>Return Multiple (post-Series A)</t>
        </is>
      </c>
      <c r="C52" s="309">
        <f>C46/C39</f>
        <v/>
      </c>
    </row>
    <row r="54" ht="15" customHeight="1" s="160">
      <c r="B54" s="293" t="inlineStr">
        <is>
          <t>VC Target IRR</t>
        </is>
      </c>
      <c r="C54" s="302">
        <f>C12</f>
        <v/>
      </c>
    </row>
    <row r="55" ht="15" customHeight="1" s="160">
      <c r="B55" s="293" t="inlineStr">
        <is>
          <t>Meets hurdle (no dilution)?</t>
        </is>
      </c>
      <c r="C55" s="293">
        <f>IF(C49&gt;=C54,"YES","NO")</f>
        <v/>
      </c>
    </row>
    <row r="56" ht="15" customHeight="1" s="160">
      <c r="B56" s="293" t="inlineStr">
        <is>
          <t>Meets hurdle (post-Series A)?</t>
        </is>
      </c>
      <c r="C56" s="293">
        <f>IF(C50&gt;=C54,"YES","NO")</f>
        <v/>
      </c>
    </row>
    <row r="58" ht="15" customHeight="1" s="160">
      <c r="B58" s="291" t="inlineStr">
        <is>
          <t>C. QUICK VALUATION (Course Formula)</t>
        </is>
      </c>
    </row>
    <row r="59" ht="15" customHeight="1" s="160">
      <c r="B59" s="295" t="inlineStr">
        <is>
          <t>Post-money = Future EV / (1+IRR)^years</t>
        </is>
      </c>
    </row>
    <row r="61" ht="15" customHeight="1" s="160">
      <c r="B61" s="291" t="inlineStr">
        <is>
          <t>&gt;&gt;&gt; Quick Post-Money</t>
        </is>
      </c>
      <c r="C61" s="301">
        <f>C20/(1+C12)^C7</f>
        <v/>
      </c>
      <c r="H61" s="295" t="inlineStr">
        <is>
          <t>PV of exit at 40% IRR</t>
        </is>
      </c>
    </row>
    <row r="62" ht="15" customHeight="1" s="160">
      <c r="B62" s="291" t="inlineStr">
        <is>
          <t>&gt;&gt;&gt; Quick Pre-Money</t>
        </is>
      </c>
      <c r="C62" s="301">
        <f>C61-C11</f>
        <v/>
      </c>
      <c r="H62" s="295" t="inlineStr">
        <is>
          <t>Post-money - Investment</t>
        </is>
      </c>
    </row>
    <row r="64" ht="15" customHeight="1" s="160">
      <c r="B64" s="293" t="inlineStr">
        <is>
          <t>Actual Pre-Money (term sheet)</t>
        </is>
      </c>
      <c r="C64" s="307">
        <f>7_CapTable!C16</f>
        <v/>
      </c>
      <c r="H64" s="295" t="inlineStr">
        <is>
          <t>EUR27M</t>
        </is>
      </c>
    </row>
    <row r="65" ht="15" customHeight="1" s="160">
      <c r="B65" s="293" t="inlineStr">
        <is>
          <t>Quick Method Pre-Money</t>
        </is>
      </c>
      <c r="C65" s="301">
        <f>C62</f>
        <v/>
      </c>
    </row>
    <row r="66" ht="15" customHeight="1" s="160">
      <c r="B66" s="293" t="inlineStr">
        <is>
          <t>Gap (Actual - Quick)</t>
        </is>
      </c>
      <c r="C66" s="301">
        <f>C64-C65</f>
        <v/>
      </c>
      <c r="H66" s="295" t="inlineStr">
        <is>
          <t>Positive = founders got premium over VC math</t>
        </is>
      </c>
    </row>
    <row r="67" ht="15" customHeight="1" s="160">
      <c r="B67" s="293" t="inlineStr">
        <is>
          <t>Gap %</t>
        </is>
      </c>
      <c r="C67" s="311">
        <f>IFERROR(C66/C65,0)</f>
        <v/>
      </c>
      <c r="H67" s="295" t="inlineStr">
        <is>
          <t>Price vs Value divergence</t>
        </is>
      </c>
    </row>
    <row r="69" ht="15" customHeight="1" s="160">
      <c r="B69" s="291" t="inlineStr">
        <is>
          <t>D. VALUATION TRIANGULATION</t>
        </is>
      </c>
    </row>
    <row r="70" ht="15" customHeight="1" s="160">
      <c r="B70" s="292" t="inlineStr">
        <is>
          <t>Method</t>
        </is>
      </c>
      <c r="C70" s="292" t="inlineStr">
        <is>
          <t>Implied Pre-Money</t>
        </is>
      </c>
      <c r="D70" s="292" t="inlineStr">
        <is>
          <t>Multiple</t>
        </is>
      </c>
      <c r="H70" s="292" t="inlineStr">
        <is>
          <t>Rationale</t>
        </is>
      </c>
    </row>
    <row r="71" ht="15" customHeight="1" s="160">
      <c r="B71" s="293" t="inlineStr">
        <is>
          <t>1. Current Rev Multiple (FY2026E)</t>
        </is>
      </c>
      <c r="C71" s="307">
        <f>2_Projections!F94*D71</f>
        <v/>
      </c>
      <c r="D71" s="308" t="n">
        <v>40</v>
      </c>
      <c r="H71" s="295" t="inlineStr">
        <is>
          <t>FY2026 Rev ~EUR645K x 40x (AI hype) = ~EUR26M</t>
        </is>
      </c>
    </row>
    <row r="72" ht="15" customHeight="1" s="160">
      <c r="B72" s="293" t="inlineStr">
        <is>
          <t>2. ARR Multiple (FY2026E EoY)</t>
        </is>
      </c>
      <c r="C72" s="307">
        <f>2_Projections!F109*D72</f>
        <v/>
      </c>
      <c r="D72" s="308" t="n">
        <v>20</v>
      </c>
      <c r="H72" s="295" t="inlineStr">
        <is>
          <t>FY2026 ARR ~EUR1.3M x 20x = ~EUR26M</t>
        </is>
      </c>
    </row>
    <row r="73" ht="15" customHeight="1" s="160">
      <c r="B73" s="293" t="inlineStr">
        <is>
          <t>3. Forward Rev Multiple (FY2027E)</t>
        </is>
      </c>
      <c r="C73" s="307">
        <f>2_Projections!G94*D73</f>
        <v/>
      </c>
      <c r="D73" s="308" t="n">
        <v>5</v>
      </c>
      <c r="H73" s="295" t="inlineStr">
        <is>
          <t>FY2027 Rev ~EUR5.4M x 5x = ~EUR27M</t>
        </is>
      </c>
    </row>
    <row r="74" ht="15" customHeight="1" s="160">
      <c r="B74" s="293" t="inlineStr">
        <is>
          <t>4. VC Method (backward from exit)</t>
        </is>
      </c>
      <c r="C74" s="301">
        <f>C34</f>
        <v/>
      </c>
      <c r="H74" s="295" t="inlineStr">
        <is>
          <t>From Section A</t>
        </is>
      </c>
    </row>
    <row r="75" ht="15" customHeight="1" s="160">
      <c r="B75" s="293" t="inlineStr">
        <is>
          <t>5. Comparable Transactions</t>
        </is>
      </c>
      <c r="C75" s="300" t="n">
        <v>27000000</v>
      </c>
      <c r="H75" s="295" t="inlineStr">
        <is>
          <t>EU AI/Fashion: Heuritech EUR15M, Veesual EUR10M, Thread GBP8M</t>
        </is>
      </c>
    </row>
    <row r="77" ht="15" customHeight="1" s="160">
      <c r="B77" s="291" t="inlineStr">
        <is>
          <t>&gt;&gt;&gt; RANGE (Low)</t>
        </is>
      </c>
      <c r="C77" s="301">
        <f>MIN(C71:C75)</f>
        <v/>
      </c>
      <c r="D77" s="291" t="inlineStr">
        <is>
          <t>&gt;&gt;&gt; RANGE (High)</t>
        </is>
      </c>
      <c r="E77" s="301">
        <f>MAX(C71:C75)</f>
        <v/>
      </c>
    </row>
    <row r="78" ht="15" customHeight="1" s="160">
      <c r="B78" s="291" t="inlineStr">
        <is>
          <t>EUR27M within range?</t>
        </is>
      </c>
      <c r="C78" s="293">
        <f>IF(AND(27000000&gt;=C77,27000000&lt;=E77),"YES - triangulation supports EUR27M","NO - outside range")</f>
        <v/>
      </c>
    </row>
    <row r="80" ht="15" customHeight="1" s="160">
      <c r="B80" s="291" t="inlineStr">
        <is>
          <t>E. REQUIRED EXIT VALUE FOR VC AT 40% IRR</t>
        </is>
      </c>
    </row>
    <row r="81" ht="15" customHeight="1" s="160">
      <c r="B81" s="293" t="inlineStr">
        <is>
          <t>Target Return Multiple</t>
        </is>
      </c>
      <c r="C81" s="317">
        <f>(1+C12)^C7</f>
        <v/>
      </c>
      <c r="H81" s="295" t="inlineStr">
        <is>
          <t>(1+40%)^4 = 3.84x</t>
        </is>
      </c>
    </row>
    <row r="82" ht="15" customHeight="1" s="160">
      <c r="B82" s="293" t="inlineStr">
        <is>
          <t>Seed Investment</t>
        </is>
      </c>
      <c r="C82" s="301">
        <f>C11</f>
        <v/>
      </c>
    </row>
    <row r="83" ht="15" customHeight="1" s="160">
      <c r="B83" s="293" t="inlineStr">
        <is>
          <t>Required Exit Proceeds</t>
        </is>
      </c>
      <c r="C83" s="301">
        <f>C82*C81</f>
        <v/>
      </c>
      <c r="H83" s="295" t="inlineStr">
        <is>
          <t>Inv x target multiple</t>
        </is>
      </c>
    </row>
    <row r="84" ht="15" customHeight="1" s="160">
      <c r="B84" s="293" t="inlineStr">
        <is>
          <t>Seed Ownership (post-seed)</t>
        </is>
      </c>
      <c r="C84" s="302">
        <f>C40</f>
        <v/>
      </c>
    </row>
    <row r="85" ht="15" customHeight="1" s="160">
      <c r="B85" s="293" t="inlineStr">
        <is>
          <t>Seed Ownership (post-Series A)</t>
        </is>
      </c>
      <c r="C85" s="302">
        <f>C41</f>
        <v/>
      </c>
    </row>
    <row r="87" ht="15" customHeight="1" s="160">
      <c r="B87" s="291" t="inlineStr">
        <is>
          <t>&gt;&gt;&gt; Required EV (no dilution)</t>
        </is>
      </c>
      <c r="C87" s="301">
        <f>C83/C84</f>
        <v/>
      </c>
      <c r="H87" s="295" t="inlineStr">
        <is>
          <t>Proceeds / ownership%</t>
        </is>
      </c>
    </row>
    <row r="88" ht="15" customHeight="1" s="160">
      <c r="B88" s="291" t="inlineStr">
        <is>
          <t>&gt;&gt;&gt; Required EV (post-Series A)</t>
        </is>
      </c>
      <c r="C88" s="301">
        <f>C83/C85</f>
        <v/>
      </c>
      <c r="H88" s="295" t="inlineStr">
        <is>
          <t>Proceeds / diluted%</t>
        </is>
      </c>
    </row>
    <row r="90" ht="15" customHeight="1" s="160">
      <c r="B90" s="293" t="inlineStr">
        <is>
          <t>Sanity: Model FY2030 ARR</t>
        </is>
      </c>
      <c r="C90" s="301">
        <f>C10</f>
        <v/>
      </c>
    </row>
    <row r="91" ht="15" customHeight="1" s="160">
      <c r="B91" s="293" t="inlineStr">
        <is>
          <t>EV at 10x ARR</t>
        </is>
      </c>
      <c r="C91" s="301">
        <f>C90*10</f>
        <v/>
      </c>
    </row>
    <row r="92" ht="15" customHeight="1" s="160">
      <c r="B92" s="293" t="inlineStr">
        <is>
          <t>EV at 15x ARR</t>
        </is>
      </c>
      <c r="C92" s="301">
        <f>C90*15</f>
        <v/>
      </c>
    </row>
    <row r="93" ht="15" customHeight="1" s="160">
      <c r="B93" s="293" t="inlineStr">
        <is>
          <t>Sufficient at 10x?</t>
        </is>
      </c>
      <c r="C93" s="293">
        <f>IF(C91&gt;=C88,"YES","NO - need higher multiple")</f>
        <v/>
      </c>
    </row>
    <row r="94" ht="15" customHeight="1" s="160">
      <c r="B94" s="293" t="inlineStr">
        <is>
          <t>Sufficient at 15x?</t>
        </is>
      </c>
      <c r="C94" s="293">
        <f>IF(C92&gt;=C88,"YES","NO")</f>
        <v/>
      </c>
    </row>
    <row r="96" ht="15" customHeight="1" s="160">
      <c r="B96" s="291" t="inlineStr">
        <is>
          <t>F. PRICE vs VALUE (Course Concept)</t>
        </is>
      </c>
    </row>
    <row r="97" ht="15" customHeight="1" s="160">
      <c r="B97" s="293" t="inlineStr">
        <is>
          <t>Actual Seed Price (Pre-Money)</t>
        </is>
      </c>
      <c r="C97" s="307">
        <f>7_CapTable!C16</f>
        <v/>
      </c>
      <c r="H97" s="295" t="inlineStr">
        <is>
          <t>EUR27M term sheet</t>
        </is>
      </c>
    </row>
    <row r="98" ht="15" customHeight="1" s="160">
      <c r="B98" s="293" t="inlineStr">
        <is>
          <t>VC Method Value</t>
        </is>
      </c>
      <c r="C98" s="301">
        <f>C34</f>
        <v/>
      </c>
      <c r="H98" s="295" t="inlineStr">
        <is>
          <t>From 5-step method</t>
        </is>
      </c>
    </row>
    <row r="99" ht="15" customHeight="1" s="160">
      <c r="B99" s="293" t="inlineStr">
        <is>
          <t>Price Premium / (Discount)</t>
        </is>
      </c>
      <c r="C99" s="301">
        <f>C97-C98</f>
        <v/>
      </c>
      <c r="H99" s="295" t="inlineStr">
        <is>
          <t>Positive = price &gt; value (hype). Negative = desperation.</t>
        </is>
      </c>
    </row>
    <row r="100" ht="15" customHeight="1" s="160">
      <c r="B100" s="293" t="inlineStr">
        <is>
          <t>Premium %</t>
        </is>
      </c>
      <c r="C100" s="311">
        <f>IFERROR(C99/C98,0)</f>
        <v/>
      </c>
      <c r="H100" s="295" t="inlineStr">
        <is>
          <t>Course: price and value often diverge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2026-03-29T17:00:56Z</dcterms:created>
  <dcterms:modified xmlns:dcterms="http://purl.org/dc/terms/" xmlns:xsi="http://www.w3.org/2001/XMLSchema-instance" xsi:type="dcterms:W3CDTF">2026-04-02T18:57:59Z</dcterms:modified>
  <cp:revision>0</cp:revision>
</cp:coreProperties>
</file>